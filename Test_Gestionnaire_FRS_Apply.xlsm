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C:\Users\SES\Desktop\SDMA HOLDING\"/>
    </mc:Choice>
  </mc:AlternateContent>
  <bookViews>
    <workbookView xWindow="0" yWindow="0" windowWidth="15360" windowHeight="7095" tabRatio="708"/>
  </bookViews>
  <sheets>
    <sheet name="Tableau de bord" sheetId="4" r:id="rId1"/>
    <sheet name="Dettes" sheetId="1" r:id="rId2"/>
    <sheet name="Règlements" sheetId="2" r:id="rId3"/>
    <sheet name="Paramètres" sheetId="3" r:id="rId4"/>
    <sheet name="Calculs" sheetId="5" state="hidden" r:id="rId5"/>
  </sheets>
  <definedNames>
    <definedName name="CelDate">Dettes!$F$8</definedName>
    <definedName name="CelEchéance">Dettes!$H$8</definedName>
    <definedName name="CelNAP">Dettes!$H$10</definedName>
    <definedName name="CelNumFact">Dettes!$F$10</definedName>
    <definedName name="CelNumTiers">Dettes!$D$8</definedName>
    <definedName name="DateRef">Paramètres!$K$8</definedName>
    <definedName name="Segment_Années">#N/A</definedName>
    <definedName name="Segment_Fournisseur">#N/A</definedName>
    <definedName name="Segment_Mois">#N/A</definedName>
    <definedName name="_xlnm.Print_Area" localSheetId="0">'Tableau de bord'!$A$1:$AT$38</definedName>
  </definedNames>
  <calcPr calcId="162913"/>
  <pivotCaches>
    <pivotCache cacheId="0" r:id="rId6"/>
  </pivotCaches>
  <extLst>
    <ext xmlns:x14="http://schemas.microsoft.com/office/spreadsheetml/2009/9/main" uri="{BBE1A952-AA13-448e-AADC-164F8A28A991}">
      <x14:slicerCaches>
        <x14:slicerCache r:id="rId7"/>
        <x14:slicerCache r:id="rId8"/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8" i="1" l="1"/>
  <c r="E14" i="2" l="1"/>
  <c r="F8" i="2"/>
  <c r="E14" i="1"/>
  <c r="F14" i="1" s="1"/>
  <c r="I14" i="1"/>
  <c r="J14" i="1" s="1"/>
  <c r="L14" i="1" s="1"/>
  <c r="M14" i="1" s="1"/>
  <c r="W128" i="1"/>
  <c r="V128" i="1"/>
  <c r="H28" i="5"/>
  <c r="L28" i="5" s="1"/>
  <c r="H27" i="5"/>
  <c r="H26" i="5"/>
  <c r="L26" i="5" s="1"/>
  <c r="H25" i="5"/>
  <c r="H24" i="5"/>
  <c r="H23" i="5"/>
  <c r="K8" i="3"/>
  <c r="H11" i="5" s="1"/>
  <c r="O11" i="5" s="1"/>
  <c r="K28" i="5" l="1"/>
  <c r="L27" i="5"/>
  <c r="J27" i="5" s="1"/>
  <c r="I28" i="5"/>
  <c r="J28" i="5"/>
  <c r="I26" i="5"/>
  <c r="J26" i="5"/>
  <c r="L25" i="5"/>
  <c r="J25" i="5" s="1"/>
  <c r="I25" i="5"/>
  <c r="L24" i="5"/>
  <c r="J24" i="5" s="1"/>
  <c r="L23" i="5"/>
  <c r="I23" i="5" s="1"/>
  <c r="J23" i="5"/>
  <c r="K11" i="5"/>
  <c r="I11" i="5"/>
  <c r="H15" i="5"/>
  <c r="H14" i="5"/>
  <c r="H13" i="5"/>
  <c r="H12" i="5"/>
  <c r="H10" i="5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W101" i="1"/>
  <c r="W102" i="1"/>
  <c r="W103" i="1"/>
  <c r="W104" i="1"/>
  <c r="W105" i="1"/>
  <c r="W106" i="1"/>
  <c r="W107" i="1"/>
  <c r="W108" i="1"/>
  <c r="W109" i="1"/>
  <c r="W110" i="1"/>
  <c r="W111" i="1"/>
  <c r="W112" i="1"/>
  <c r="W113" i="1"/>
  <c r="W114" i="1"/>
  <c r="W115" i="1"/>
  <c r="W116" i="1"/>
  <c r="W117" i="1"/>
  <c r="W118" i="1"/>
  <c r="W119" i="1"/>
  <c r="W120" i="1"/>
  <c r="W121" i="1"/>
  <c r="W122" i="1"/>
  <c r="W123" i="1"/>
  <c r="W124" i="1"/>
  <c r="W125" i="1"/>
  <c r="W126" i="1"/>
  <c r="W127" i="1"/>
  <c r="W129" i="1"/>
  <c r="W130" i="1"/>
  <c r="W131" i="1"/>
  <c r="W132" i="1"/>
  <c r="W133" i="1"/>
  <c r="W134" i="1"/>
  <c r="W135" i="1"/>
  <c r="W136" i="1"/>
  <c r="W137" i="1"/>
  <c r="W138" i="1"/>
  <c r="W139" i="1"/>
  <c r="W140" i="1"/>
  <c r="W141" i="1"/>
  <c r="W142" i="1"/>
  <c r="W143" i="1"/>
  <c r="W144" i="1"/>
  <c r="W145" i="1"/>
  <c r="W146" i="1"/>
  <c r="W147" i="1"/>
  <c r="W148" i="1"/>
  <c r="W149" i="1"/>
  <c r="W150" i="1"/>
  <c r="W151" i="1"/>
  <c r="W152" i="1"/>
  <c r="W153" i="1"/>
  <c r="W154" i="1"/>
  <c r="W155" i="1"/>
  <c r="W156" i="1"/>
  <c r="W157" i="1"/>
  <c r="W158" i="1"/>
  <c r="W159" i="1"/>
  <c r="W160" i="1"/>
  <c r="W161" i="1"/>
  <c r="W162" i="1"/>
  <c r="W163" i="1"/>
  <c r="W164" i="1"/>
  <c r="W165" i="1"/>
  <c r="W166" i="1"/>
  <c r="W167" i="1"/>
  <c r="W168" i="1"/>
  <c r="W169" i="1"/>
  <c r="W170" i="1"/>
  <c r="W171" i="1"/>
  <c r="W172" i="1"/>
  <c r="W173" i="1"/>
  <c r="W174" i="1"/>
  <c r="W175" i="1"/>
  <c r="W176" i="1"/>
  <c r="W177" i="1"/>
  <c r="W178" i="1"/>
  <c r="W179" i="1"/>
  <c r="W180" i="1"/>
  <c r="W181" i="1"/>
  <c r="W182" i="1"/>
  <c r="W183" i="1"/>
  <c r="W184" i="1"/>
  <c r="W185" i="1"/>
  <c r="W186" i="1"/>
  <c r="W187" i="1"/>
  <c r="W188" i="1"/>
  <c r="W189" i="1"/>
  <c r="W190" i="1"/>
  <c r="W191" i="1"/>
  <c r="W192" i="1"/>
  <c r="W193" i="1"/>
  <c r="W194" i="1"/>
  <c r="W195" i="1"/>
  <c r="W196" i="1"/>
  <c r="W197" i="1"/>
  <c r="W198" i="1"/>
  <c r="W199" i="1"/>
  <c r="W200" i="1"/>
  <c r="W201" i="1"/>
  <c r="W202" i="1"/>
  <c r="W203" i="1"/>
  <c r="W204" i="1"/>
  <c r="W205" i="1"/>
  <c r="W206" i="1"/>
  <c r="W207" i="1"/>
  <c r="W208" i="1"/>
  <c r="W209" i="1"/>
  <c r="W210" i="1"/>
  <c r="W211" i="1"/>
  <c r="W212" i="1"/>
  <c r="W213" i="1"/>
  <c r="W214" i="1"/>
  <c r="W215" i="1"/>
  <c r="W216" i="1"/>
  <c r="W217" i="1"/>
  <c r="W218" i="1"/>
  <c r="W219" i="1"/>
  <c r="W220" i="1"/>
  <c r="W221" i="1"/>
  <c r="W222" i="1"/>
  <c r="W223" i="1"/>
  <c r="W224" i="1"/>
  <c r="W225" i="1"/>
  <c r="W226" i="1"/>
  <c r="W227" i="1"/>
  <c r="W228" i="1"/>
  <c r="W229" i="1"/>
  <c r="W230" i="1"/>
  <c r="W231" i="1"/>
  <c r="W232" i="1"/>
  <c r="W233" i="1"/>
  <c r="W234" i="1"/>
  <c r="W235" i="1"/>
  <c r="W236" i="1"/>
  <c r="W237" i="1"/>
  <c r="W238" i="1"/>
  <c r="W239" i="1"/>
  <c r="W240" i="1"/>
  <c r="W241" i="1"/>
  <c r="W242" i="1"/>
  <c r="W243" i="1"/>
  <c r="W244" i="1"/>
  <c r="W245" i="1"/>
  <c r="W246" i="1"/>
  <c r="W247" i="1"/>
  <c r="W248" i="1"/>
  <c r="W249" i="1"/>
  <c r="W250" i="1"/>
  <c r="W251" i="1"/>
  <c r="W252" i="1"/>
  <c r="W253" i="1"/>
  <c r="W254" i="1"/>
  <c r="W255" i="1"/>
  <c r="W256" i="1"/>
  <c r="W257" i="1"/>
  <c r="W258" i="1"/>
  <c r="W259" i="1"/>
  <c r="W260" i="1"/>
  <c r="W261" i="1"/>
  <c r="W262" i="1"/>
  <c r="W263" i="1"/>
  <c r="W264" i="1"/>
  <c r="W265" i="1"/>
  <c r="W266" i="1"/>
  <c r="W267" i="1"/>
  <c r="W268" i="1"/>
  <c r="W269" i="1"/>
  <c r="W270" i="1"/>
  <c r="W271" i="1"/>
  <c r="W272" i="1"/>
  <c r="W273" i="1"/>
  <c r="W274" i="1"/>
  <c r="W275" i="1"/>
  <c r="W276" i="1"/>
  <c r="W277" i="1"/>
  <c r="W278" i="1"/>
  <c r="W279" i="1"/>
  <c r="W280" i="1"/>
  <c r="W281" i="1"/>
  <c r="W282" i="1"/>
  <c r="W283" i="1"/>
  <c r="W284" i="1"/>
  <c r="W285" i="1"/>
  <c r="W286" i="1"/>
  <c r="W287" i="1"/>
  <c r="W288" i="1"/>
  <c r="W289" i="1"/>
  <c r="W290" i="1"/>
  <c r="W291" i="1"/>
  <c r="W292" i="1"/>
  <c r="W293" i="1"/>
  <c r="W294" i="1"/>
  <c r="W295" i="1"/>
  <c r="W296" i="1"/>
  <c r="W297" i="1"/>
  <c r="W298" i="1"/>
  <c r="W299" i="1"/>
  <c r="W300" i="1"/>
  <c r="W301" i="1"/>
  <c r="W302" i="1"/>
  <c r="W303" i="1"/>
  <c r="W304" i="1"/>
  <c r="W305" i="1"/>
  <c r="W306" i="1"/>
  <c r="W307" i="1"/>
  <c r="W308" i="1"/>
  <c r="W309" i="1"/>
  <c r="W310" i="1"/>
  <c r="W311" i="1"/>
  <c r="W312" i="1"/>
  <c r="W313" i="1"/>
  <c r="W314" i="1"/>
  <c r="W315" i="1"/>
  <c r="W316" i="1"/>
  <c r="W317" i="1"/>
  <c r="W318" i="1"/>
  <c r="W319" i="1"/>
  <c r="W320" i="1"/>
  <c r="W321" i="1"/>
  <c r="W322" i="1"/>
  <c r="W323" i="1"/>
  <c r="W324" i="1"/>
  <c r="W325" i="1"/>
  <c r="W326" i="1"/>
  <c r="W327" i="1"/>
  <c r="W328" i="1"/>
  <c r="W329" i="1"/>
  <c r="W330" i="1"/>
  <c r="W331" i="1"/>
  <c r="W332" i="1"/>
  <c r="W333" i="1"/>
  <c r="W334" i="1"/>
  <c r="W335" i="1"/>
  <c r="W336" i="1"/>
  <c r="W337" i="1"/>
  <c r="W338" i="1"/>
  <c r="W339" i="1"/>
  <c r="W340" i="1"/>
  <c r="W341" i="1"/>
  <c r="W342" i="1"/>
  <c r="W343" i="1"/>
  <c r="W344" i="1"/>
  <c r="W345" i="1"/>
  <c r="W346" i="1"/>
  <c r="W347" i="1"/>
  <c r="W348" i="1"/>
  <c r="W349" i="1"/>
  <c r="W350" i="1"/>
  <c r="W351" i="1"/>
  <c r="W352" i="1"/>
  <c r="W353" i="1"/>
  <c r="W354" i="1"/>
  <c r="W355" i="1"/>
  <c r="W356" i="1"/>
  <c r="W357" i="1"/>
  <c r="W358" i="1"/>
  <c r="W359" i="1"/>
  <c r="W360" i="1"/>
  <c r="W361" i="1"/>
  <c r="W362" i="1"/>
  <c r="W363" i="1"/>
  <c r="W364" i="1"/>
  <c r="W365" i="1"/>
  <c r="W366" i="1"/>
  <c r="W367" i="1"/>
  <c r="W368" i="1"/>
  <c r="W369" i="1"/>
  <c r="W370" i="1"/>
  <c r="W371" i="1"/>
  <c r="W372" i="1"/>
  <c r="W373" i="1"/>
  <c r="W374" i="1"/>
  <c r="W375" i="1"/>
  <c r="W376" i="1"/>
  <c r="W377" i="1"/>
  <c r="W378" i="1"/>
  <c r="W379" i="1"/>
  <c r="W380" i="1"/>
  <c r="W381" i="1"/>
  <c r="W382" i="1"/>
  <c r="W383" i="1"/>
  <c r="W384" i="1"/>
  <c r="W385" i="1"/>
  <c r="W386" i="1"/>
  <c r="W387" i="1"/>
  <c r="W388" i="1"/>
  <c r="W389" i="1"/>
  <c r="W390" i="1"/>
  <c r="W391" i="1"/>
  <c r="W392" i="1"/>
  <c r="W393" i="1"/>
  <c r="W394" i="1"/>
  <c r="W395" i="1"/>
  <c r="W396" i="1"/>
  <c r="W397" i="1"/>
  <c r="W398" i="1"/>
  <c r="W399" i="1"/>
  <c r="W400" i="1"/>
  <c r="W401" i="1"/>
  <c r="W402" i="1"/>
  <c r="W403" i="1"/>
  <c r="W404" i="1"/>
  <c r="W405" i="1"/>
  <c r="W406" i="1"/>
  <c r="W407" i="1"/>
  <c r="W408" i="1"/>
  <c r="W409" i="1"/>
  <c r="W410" i="1"/>
  <c r="W411" i="1"/>
  <c r="W412" i="1"/>
  <c r="W413" i="1"/>
  <c r="W414" i="1"/>
  <c r="W415" i="1"/>
  <c r="W416" i="1"/>
  <c r="W417" i="1"/>
  <c r="W418" i="1"/>
  <c r="W419" i="1"/>
  <c r="W420" i="1"/>
  <c r="W421" i="1"/>
  <c r="W422" i="1"/>
  <c r="W423" i="1"/>
  <c r="W424" i="1"/>
  <c r="W425" i="1"/>
  <c r="W426" i="1"/>
  <c r="W427" i="1"/>
  <c r="W428" i="1"/>
  <c r="W429" i="1"/>
  <c r="W430" i="1"/>
  <c r="W431" i="1"/>
  <c r="W432" i="1"/>
  <c r="W433" i="1"/>
  <c r="W434" i="1"/>
  <c r="W435" i="1"/>
  <c r="W436" i="1"/>
  <c r="W437" i="1"/>
  <c r="W438" i="1"/>
  <c r="W439" i="1"/>
  <c r="W440" i="1"/>
  <c r="W441" i="1"/>
  <c r="W442" i="1"/>
  <c r="W443" i="1"/>
  <c r="W444" i="1"/>
  <c r="W445" i="1"/>
  <c r="W446" i="1"/>
  <c r="W447" i="1"/>
  <c r="W448" i="1"/>
  <c r="W449" i="1"/>
  <c r="W450" i="1"/>
  <c r="W451" i="1"/>
  <c r="W452" i="1"/>
  <c r="W453" i="1"/>
  <c r="W454" i="1"/>
  <c r="W455" i="1"/>
  <c r="W456" i="1"/>
  <c r="W457" i="1"/>
  <c r="W458" i="1"/>
  <c r="W459" i="1"/>
  <c r="W460" i="1"/>
  <c r="W461" i="1"/>
  <c r="W462" i="1"/>
  <c r="W463" i="1"/>
  <c r="W464" i="1"/>
  <c r="W465" i="1"/>
  <c r="W466" i="1"/>
  <c r="W467" i="1"/>
  <c r="W468" i="1"/>
  <c r="W469" i="1"/>
  <c r="W470" i="1"/>
  <c r="W471" i="1"/>
  <c r="W472" i="1"/>
  <c r="W473" i="1"/>
  <c r="W474" i="1"/>
  <c r="W475" i="1"/>
  <c r="W476" i="1"/>
  <c r="W477" i="1"/>
  <c r="W478" i="1"/>
  <c r="W479" i="1"/>
  <c r="W480" i="1"/>
  <c r="W481" i="1"/>
  <c r="W482" i="1"/>
  <c r="W483" i="1"/>
  <c r="W484" i="1"/>
  <c r="W485" i="1"/>
  <c r="W486" i="1"/>
  <c r="W487" i="1"/>
  <c r="W488" i="1"/>
  <c r="W489" i="1"/>
  <c r="W490" i="1"/>
  <c r="W491" i="1"/>
  <c r="W492" i="1"/>
  <c r="W493" i="1"/>
  <c r="W494" i="1"/>
  <c r="W495" i="1"/>
  <c r="W496" i="1"/>
  <c r="W497" i="1"/>
  <c r="W498" i="1"/>
  <c r="W499" i="1"/>
  <c r="W500" i="1"/>
  <c r="W501" i="1"/>
  <c r="W502" i="1"/>
  <c r="W503" i="1"/>
  <c r="W504" i="1"/>
  <c r="W505" i="1"/>
  <c r="W506" i="1"/>
  <c r="W507" i="1"/>
  <c r="W508" i="1"/>
  <c r="W509" i="1"/>
  <c r="W510" i="1"/>
  <c r="W511" i="1"/>
  <c r="W512" i="1"/>
  <c r="W513" i="1"/>
  <c r="W514" i="1"/>
  <c r="W515" i="1"/>
  <c r="W516" i="1"/>
  <c r="W517" i="1"/>
  <c r="W518" i="1"/>
  <c r="W519" i="1"/>
  <c r="W520" i="1"/>
  <c r="W521" i="1"/>
  <c r="W522" i="1"/>
  <c r="W523" i="1"/>
  <c r="W524" i="1"/>
  <c r="W525" i="1"/>
  <c r="W526" i="1"/>
  <c r="W527" i="1"/>
  <c r="W528" i="1"/>
  <c r="W529" i="1"/>
  <c r="W530" i="1"/>
  <c r="W531" i="1"/>
  <c r="W532" i="1"/>
  <c r="W533" i="1"/>
  <c r="W534" i="1"/>
  <c r="W535" i="1"/>
  <c r="W536" i="1"/>
  <c r="W537" i="1"/>
  <c r="W538" i="1"/>
  <c r="W539" i="1"/>
  <c r="W540" i="1"/>
  <c r="W541" i="1"/>
  <c r="W542" i="1"/>
  <c r="W543" i="1"/>
  <c r="W544" i="1"/>
  <c r="W545" i="1"/>
  <c r="W546" i="1"/>
  <c r="W547" i="1"/>
  <c r="W548" i="1"/>
  <c r="W549" i="1"/>
  <c r="W550" i="1"/>
  <c r="W551" i="1"/>
  <c r="W552" i="1"/>
  <c r="W553" i="1"/>
  <c r="W554" i="1"/>
  <c r="W555" i="1"/>
  <c r="W556" i="1"/>
  <c r="W557" i="1"/>
  <c r="W558" i="1"/>
  <c r="W559" i="1"/>
  <c r="W560" i="1"/>
  <c r="W561" i="1"/>
  <c r="W562" i="1"/>
  <c r="W563" i="1"/>
  <c r="W564" i="1"/>
  <c r="W565" i="1"/>
  <c r="W566" i="1"/>
  <c r="W567" i="1"/>
  <c r="W568" i="1"/>
  <c r="W569" i="1"/>
  <c r="W570" i="1"/>
  <c r="W571" i="1"/>
  <c r="W572" i="1"/>
  <c r="W573" i="1"/>
  <c r="W574" i="1"/>
  <c r="W575" i="1"/>
  <c r="W576" i="1"/>
  <c r="W577" i="1"/>
  <c r="W578" i="1"/>
  <c r="W579" i="1"/>
  <c r="W580" i="1"/>
  <c r="W581" i="1"/>
  <c r="W582" i="1"/>
  <c r="W583" i="1"/>
  <c r="W584" i="1"/>
  <c r="W585" i="1"/>
  <c r="W586" i="1"/>
  <c r="W587" i="1"/>
  <c r="W588" i="1"/>
  <c r="W589" i="1"/>
  <c r="W590" i="1"/>
  <c r="W591" i="1"/>
  <c r="W592" i="1"/>
  <c r="W593" i="1"/>
  <c r="W594" i="1"/>
  <c r="W595" i="1"/>
  <c r="W596" i="1"/>
  <c r="W597" i="1"/>
  <c r="W598" i="1"/>
  <c r="W599" i="1"/>
  <c r="W600" i="1"/>
  <c r="W601" i="1"/>
  <c r="W602" i="1"/>
  <c r="W603" i="1"/>
  <c r="W604" i="1"/>
  <c r="W605" i="1"/>
  <c r="W606" i="1"/>
  <c r="W607" i="1"/>
  <c r="W608" i="1"/>
  <c r="W609" i="1"/>
  <c r="W610" i="1"/>
  <c r="W611" i="1"/>
  <c r="W612" i="1"/>
  <c r="W613" i="1"/>
  <c r="W614" i="1"/>
  <c r="W615" i="1"/>
  <c r="W616" i="1"/>
  <c r="W617" i="1"/>
  <c r="W618" i="1"/>
  <c r="W619" i="1"/>
  <c r="W620" i="1"/>
  <c r="W621" i="1"/>
  <c r="W622" i="1"/>
  <c r="W623" i="1"/>
  <c r="W624" i="1"/>
  <c r="W625" i="1"/>
  <c r="W626" i="1"/>
  <c r="W627" i="1"/>
  <c r="W628" i="1"/>
  <c r="W629" i="1"/>
  <c r="W630" i="1"/>
  <c r="W631" i="1"/>
  <c r="W632" i="1"/>
  <c r="W633" i="1"/>
  <c r="W634" i="1"/>
  <c r="W635" i="1"/>
  <c r="W636" i="1"/>
  <c r="W637" i="1"/>
  <c r="W638" i="1"/>
  <c r="W639" i="1"/>
  <c r="W640" i="1"/>
  <c r="W641" i="1"/>
  <c r="W642" i="1"/>
  <c r="W643" i="1"/>
  <c r="W644" i="1"/>
  <c r="W645" i="1"/>
  <c r="W646" i="1"/>
  <c r="W647" i="1"/>
  <c r="W648" i="1"/>
  <c r="W649" i="1"/>
  <c r="W650" i="1"/>
  <c r="W651" i="1"/>
  <c r="W652" i="1"/>
  <c r="W653" i="1"/>
  <c r="W654" i="1"/>
  <c r="W655" i="1"/>
  <c r="W656" i="1"/>
  <c r="W657" i="1"/>
  <c r="W658" i="1"/>
  <c r="W659" i="1"/>
  <c r="W660" i="1"/>
  <c r="W661" i="1"/>
  <c r="W662" i="1"/>
  <c r="W663" i="1"/>
  <c r="W14" i="1"/>
  <c r="V15" i="1"/>
  <c r="O15" i="1" s="1"/>
  <c r="V16" i="1"/>
  <c r="V17" i="1"/>
  <c r="V18" i="1"/>
  <c r="V19" i="1"/>
  <c r="O19" i="1" s="1"/>
  <c r="V20" i="1"/>
  <c r="V21" i="1"/>
  <c r="V22" i="1"/>
  <c r="V23" i="1"/>
  <c r="O23" i="1" s="1"/>
  <c r="V24" i="1"/>
  <c r="V25" i="1"/>
  <c r="V26" i="1"/>
  <c r="V27" i="1"/>
  <c r="O27" i="1" s="1"/>
  <c r="V28" i="1"/>
  <c r="V29" i="1"/>
  <c r="V30" i="1"/>
  <c r="V31" i="1"/>
  <c r="O31" i="1" s="1"/>
  <c r="V32" i="1"/>
  <c r="V33" i="1"/>
  <c r="V34" i="1"/>
  <c r="V35" i="1"/>
  <c r="O35" i="1" s="1"/>
  <c r="V36" i="1"/>
  <c r="V37" i="1"/>
  <c r="V38" i="1"/>
  <c r="V39" i="1"/>
  <c r="O39" i="1" s="1"/>
  <c r="V40" i="1"/>
  <c r="V41" i="1"/>
  <c r="V42" i="1"/>
  <c r="V43" i="1"/>
  <c r="O43" i="1" s="1"/>
  <c r="V44" i="1"/>
  <c r="V45" i="1"/>
  <c r="V46" i="1"/>
  <c r="V47" i="1"/>
  <c r="O47" i="1" s="1"/>
  <c r="V48" i="1"/>
  <c r="V49" i="1"/>
  <c r="V50" i="1"/>
  <c r="V51" i="1"/>
  <c r="O51" i="1" s="1"/>
  <c r="V52" i="1"/>
  <c r="V53" i="1"/>
  <c r="V54" i="1"/>
  <c r="V55" i="1"/>
  <c r="O55" i="1" s="1"/>
  <c r="V56" i="1"/>
  <c r="V57" i="1"/>
  <c r="V58" i="1"/>
  <c r="V59" i="1"/>
  <c r="O59" i="1" s="1"/>
  <c r="V60" i="1"/>
  <c r="V61" i="1"/>
  <c r="V62" i="1"/>
  <c r="V63" i="1"/>
  <c r="O63" i="1" s="1"/>
  <c r="V64" i="1"/>
  <c r="V65" i="1"/>
  <c r="V66" i="1"/>
  <c r="V67" i="1"/>
  <c r="O67" i="1" s="1"/>
  <c r="V68" i="1"/>
  <c r="V69" i="1"/>
  <c r="V70" i="1"/>
  <c r="V71" i="1"/>
  <c r="O71" i="1" s="1"/>
  <c r="V72" i="1"/>
  <c r="V73" i="1"/>
  <c r="V74" i="1"/>
  <c r="V75" i="1"/>
  <c r="O75" i="1" s="1"/>
  <c r="V76" i="1"/>
  <c r="V77" i="1"/>
  <c r="V78" i="1"/>
  <c r="V79" i="1"/>
  <c r="O79" i="1" s="1"/>
  <c r="V80" i="1"/>
  <c r="V81" i="1"/>
  <c r="V82" i="1"/>
  <c r="V83" i="1"/>
  <c r="O83" i="1" s="1"/>
  <c r="V84" i="1"/>
  <c r="V85" i="1"/>
  <c r="V86" i="1"/>
  <c r="V87" i="1"/>
  <c r="O87" i="1" s="1"/>
  <c r="V88" i="1"/>
  <c r="V89" i="1"/>
  <c r="V90" i="1"/>
  <c r="V91" i="1"/>
  <c r="O91" i="1" s="1"/>
  <c r="V92" i="1"/>
  <c r="V93" i="1"/>
  <c r="V94" i="1"/>
  <c r="V95" i="1"/>
  <c r="O95" i="1" s="1"/>
  <c r="V96" i="1"/>
  <c r="V97" i="1"/>
  <c r="V98" i="1"/>
  <c r="V99" i="1"/>
  <c r="O99" i="1" s="1"/>
  <c r="V100" i="1"/>
  <c r="V101" i="1"/>
  <c r="V102" i="1"/>
  <c r="V103" i="1"/>
  <c r="O103" i="1" s="1"/>
  <c r="V104" i="1"/>
  <c r="V105" i="1"/>
  <c r="V106" i="1"/>
  <c r="V107" i="1"/>
  <c r="O107" i="1" s="1"/>
  <c r="V108" i="1"/>
  <c r="V109" i="1"/>
  <c r="V110" i="1"/>
  <c r="V111" i="1"/>
  <c r="O111" i="1" s="1"/>
  <c r="V112" i="1"/>
  <c r="V113" i="1"/>
  <c r="V114" i="1"/>
  <c r="V115" i="1"/>
  <c r="O115" i="1" s="1"/>
  <c r="V116" i="1"/>
  <c r="V117" i="1"/>
  <c r="V118" i="1"/>
  <c r="V119" i="1"/>
  <c r="O119" i="1" s="1"/>
  <c r="V120" i="1"/>
  <c r="V121" i="1"/>
  <c r="V122" i="1"/>
  <c r="V123" i="1"/>
  <c r="O123" i="1" s="1"/>
  <c r="V124" i="1"/>
  <c r="V125" i="1"/>
  <c r="V126" i="1"/>
  <c r="V127" i="1"/>
  <c r="V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220" i="1"/>
  <c r="U221" i="1"/>
  <c r="U222" i="1"/>
  <c r="U223" i="1"/>
  <c r="U224" i="1"/>
  <c r="U225" i="1"/>
  <c r="U226" i="1"/>
  <c r="U227" i="1"/>
  <c r="U228" i="1"/>
  <c r="U229" i="1"/>
  <c r="U230" i="1"/>
  <c r="U231" i="1"/>
  <c r="U232" i="1"/>
  <c r="U233" i="1"/>
  <c r="U234" i="1"/>
  <c r="U235" i="1"/>
  <c r="U236" i="1"/>
  <c r="U237" i="1"/>
  <c r="U238" i="1"/>
  <c r="U239" i="1"/>
  <c r="U240" i="1"/>
  <c r="U241" i="1"/>
  <c r="U242" i="1"/>
  <c r="U243" i="1"/>
  <c r="U244" i="1"/>
  <c r="U245" i="1"/>
  <c r="U246" i="1"/>
  <c r="U247" i="1"/>
  <c r="U248" i="1"/>
  <c r="U249" i="1"/>
  <c r="U250" i="1"/>
  <c r="U251" i="1"/>
  <c r="U252" i="1"/>
  <c r="U253" i="1"/>
  <c r="U254" i="1"/>
  <c r="U255" i="1"/>
  <c r="U256" i="1"/>
  <c r="U257" i="1"/>
  <c r="U258" i="1"/>
  <c r="U259" i="1"/>
  <c r="U260" i="1"/>
  <c r="U261" i="1"/>
  <c r="U262" i="1"/>
  <c r="U263" i="1"/>
  <c r="U264" i="1"/>
  <c r="U265" i="1"/>
  <c r="U266" i="1"/>
  <c r="U267" i="1"/>
  <c r="U268" i="1"/>
  <c r="U269" i="1"/>
  <c r="U270" i="1"/>
  <c r="U271" i="1"/>
  <c r="U272" i="1"/>
  <c r="U273" i="1"/>
  <c r="U274" i="1"/>
  <c r="U275" i="1"/>
  <c r="U276" i="1"/>
  <c r="U277" i="1"/>
  <c r="U278" i="1"/>
  <c r="U279" i="1"/>
  <c r="U280" i="1"/>
  <c r="U281" i="1"/>
  <c r="U282" i="1"/>
  <c r="U283" i="1"/>
  <c r="U284" i="1"/>
  <c r="U285" i="1"/>
  <c r="U286" i="1"/>
  <c r="U287" i="1"/>
  <c r="U288" i="1"/>
  <c r="U289" i="1"/>
  <c r="U290" i="1"/>
  <c r="U291" i="1"/>
  <c r="U292" i="1"/>
  <c r="U293" i="1"/>
  <c r="U294" i="1"/>
  <c r="U295" i="1"/>
  <c r="U296" i="1"/>
  <c r="U297" i="1"/>
  <c r="U298" i="1"/>
  <c r="U299" i="1"/>
  <c r="U300" i="1"/>
  <c r="U301" i="1"/>
  <c r="U302" i="1"/>
  <c r="U303" i="1"/>
  <c r="U304" i="1"/>
  <c r="U305" i="1"/>
  <c r="U306" i="1"/>
  <c r="U307" i="1"/>
  <c r="U308" i="1"/>
  <c r="U309" i="1"/>
  <c r="U310" i="1"/>
  <c r="U311" i="1"/>
  <c r="U312" i="1"/>
  <c r="U313" i="1"/>
  <c r="U314" i="1"/>
  <c r="U315" i="1"/>
  <c r="U316" i="1"/>
  <c r="U317" i="1"/>
  <c r="U318" i="1"/>
  <c r="U319" i="1"/>
  <c r="U320" i="1"/>
  <c r="U321" i="1"/>
  <c r="U322" i="1"/>
  <c r="U323" i="1"/>
  <c r="U324" i="1"/>
  <c r="U325" i="1"/>
  <c r="U326" i="1"/>
  <c r="U327" i="1"/>
  <c r="U328" i="1"/>
  <c r="U329" i="1"/>
  <c r="U330" i="1"/>
  <c r="U331" i="1"/>
  <c r="U332" i="1"/>
  <c r="U333" i="1"/>
  <c r="U334" i="1"/>
  <c r="U335" i="1"/>
  <c r="U336" i="1"/>
  <c r="U337" i="1"/>
  <c r="U338" i="1"/>
  <c r="U339" i="1"/>
  <c r="U340" i="1"/>
  <c r="U341" i="1"/>
  <c r="U342" i="1"/>
  <c r="U343" i="1"/>
  <c r="U344" i="1"/>
  <c r="U345" i="1"/>
  <c r="U346" i="1"/>
  <c r="U347" i="1"/>
  <c r="U348" i="1"/>
  <c r="U349" i="1"/>
  <c r="U350" i="1"/>
  <c r="U351" i="1"/>
  <c r="U352" i="1"/>
  <c r="U353" i="1"/>
  <c r="U354" i="1"/>
  <c r="U355" i="1"/>
  <c r="U356" i="1"/>
  <c r="U357" i="1"/>
  <c r="U358" i="1"/>
  <c r="U359" i="1"/>
  <c r="U360" i="1"/>
  <c r="U361" i="1"/>
  <c r="U362" i="1"/>
  <c r="U363" i="1"/>
  <c r="U364" i="1"/>
  <c r="U365" i="1"/>
  <c r="U366" i="1"/>
  <c r="U367" i="1"/>
  <c r="U368" i="1"/>
  <c r="U369" i="1"/>
  <c r="U370" i="1"/>
  <c r="U371" i="1"/>
  <c r="U372" i="1"/>
  <c r="U373" i="1"/>
  <c r="U374" i="1"/>
  <c r="U375" i="1"/>
  <c r="U376" i="1"/>
  <c r="U377" i="1"/>
  <c r="U378" i="1"/>
  <c r="U379" i="1"/>
  <c r="U380" i="1"/>
  <c r="U381" i="1"/>
  <c r="U382" i="1"/>
  <c r="U383" i="1"/>
  <c r="U384" i="1"/>
  <c r="U385" i="1"/>
  <c r="U386" i="1"/>
  <c r="U387" i="1"/>
  <c r="U388" i="1"/>
  <c r="U389" i="1"/>
  <c r="U390" i="1"/>
  <c r="U391" i="1"/>
  <c r="U392" i="1"/>
  <c r="U393" i="1"/>
  <c r="U394" i="1"/>
  <c r="U395" i="1"/>
  <c r="U396" i="1"/>
  <c r="U397" i="1"/>
  <c r="U398" i="1"/>
  <c r="U399" i="1"/>
  <c r="U400" i="1"/>
  <c r="U401" i="1"/>
  <c r="U402" i="1"/>
  <c r="U403" i="1"/>
  <c r="U404" i="1"/>
  <c r="U405" i="1"/>
  <c r="U406" i="1"/>
  <c r="U407" i="1"/>
  <c r="U408" i="1"/>
  <c r="U409" i="1"/>
  <c r="U410" i="1"/>
  <c r="U411" i="1"/>
  <c r="U412" i="1"/>
  <c r="U413" i="1"/>
  <c r="U414" i="1"/>
  <c r="U415" i="1"/>
  <c r="U416" i="1"/>
  <c r="U417" i="1"/>
  <c r="U418" i="1"/>
  <c r="U419" i="1"/>
  <c r="U420" i="1"/>
  <c r="U421" i="1"/>
  <c r="U422" i="1"/>
  <c r="U423" i="1"/>
  <c r="U424" i="1"/>
  <c r="U425" i="1"/>
  <c r="U426" i="1"/>
  <c r="U427" i="1"/>
  <c r="U428" i="1"/>
  <c r="U429" i="1"/>
  <c r="U430" i="1"/>
  <c r="U431" i="1"/>
  <c r="U432" i="1"/>
  <c r="U433" i="1"/>
  <c r="U434" i="1"/>
  <c r="U435" i="1"/>
  <c r="U436" i="1"/>
  <c r="U437" i="1"/>
  <c r="U438" i="1"/>
  <c r="U439" i="1"/>
  <c r="U440" i="1"/>
  <c r="U441" i="1"/>
  <c r="U442" i="1"/>
  <c r="U443" i="1"/>
  <c r="U444" i="1"/>
  <c r="U445" i="1"/>
  <c r="U446" i="1"/>
  <c r="U447" i="1"/>
  <c r="U448" i="1"/>
  <c r="U449" i="1"/>
  <c r="U450" i="1"/>
  <c r="U451" i="1"/>
  <c r="U452" i="1"/>
  <c r="U453" i="1"/>
  <c r="U454" i="1"/>
  <c r="U455" i="1"/>
  <c r="U456" i="1"/>
  <c r="U457" i="1"/>
  <c r="U458" i="1"/>
  <c r="U459" i="1"/>
  <c r="U460" i="1"/>
  <c r="U461" i="1"/>
  <c r="U462" i="1"/>
  <c r="U463" i="1"/>
  <c r="U464" i="1"/>
  <c r="U465" i="1"/>
  <c r="U466" i="1"/>
  <c r="U467" i="1"/>
  <c r="U468" i="1"/>
  <c r="U469" i="1"/>
  <c r="U470" i="1"/>
  <c r="U471" i="1"/>
  <c r="U472" i="1"/>
  <c r="U473" i="1"/>
  <c r="U474" i="1"/>
  <c r="U475" i="1"/>
  <c r="U476" i="1"/>
  <c r="U477" i="1"/>
  <c r="U478" i="1"/>
  <c r="U479" i="1"/>
  <c r="U480" i="1"/>
  <c r="U481" i="1"/>
  <c r="U482" i="1"/>
  <c r="U483" i="1"/>
  <c r="U484" i="1"/>
  <c r="U485" i="1"/>
  <c r="U486" i="1"/>
  <c r="U487" i="1"/>
  <c r="U488" i="1"/>
  <c r="U489" i="1"/>
  <c r="U490" i="1"/>
  <c r="U491" i="1"/>
  <c r="U492" i="1"/>
  <c r="U493" i="1"/>
  <c r="U494" i="1"/>
  <c r="U495" i="1"/>
  <c r="U496" i="1"/>
  <c r="U497" i="1"/>
  <c r="U498" i="1"/>
  <c r="U499" i="1"/>
  <c r="U500" i="1"/>
  <c r="U501" i="1"/>
  <c r="U502" i="1"/>
  <c r="U503" i="1"/>
  <c r="U504" i="1"/>
  <c r="U505" i="1"/>
  <c r="U506" i="1"/>
  <c r="U507" i="1"/>
  <c r="U508" i="1"/>
  <c r="U509" i="1"/>
  <c r="U510" i="1"/>
  <c r="U511" i="1"/>
  <c r="U512" i="1"/>
  <c r="U513" i="1"/>
  <c r="U514" i="1"/>
  <c r="U515" i="1"/>
  <c r="U516" i="1"/>
  <c r="U517" i="1"/>
  <c r="U518" i="1"/>
  <c r="U519" i="1"/>
  <c r="U520" i="1"/>
  <c r="U521" i="1"/>
  <c r="U522" i="1"/>
  <c r="U523" i="1"/>
  <c r="U524" i="1"/>
  <c r="U525" i="1"/>
  <c r="U526" i="1"/>
  <c r="U527" i="1"/>
  <c r="U528" i="1"/>
  <c r="U529" i="1"/>
  <c r="U530" i="1"/>
  <c r="U531" i="1"/>
  <c r="U532" i="1"/>
  <c r="U533" i="1"/>
  <c r="U534" i="1"/>
  <c r="U535" i="1"/>
  <c r="U536" i="1"/>
  <c r="U537" i="1"/>
  <c r="U538" i="1"/>
  <c r="U539" i="1"/>
  <c r="U540" i="1"/>
  <c r="U541" i="1"/>
  <c r="U542" i="1"/>
  <c r="U543" i="1"/>
  <c r="U544" i="1"/>
  <c r="U545" i="1"/>
  <c r="U546" i="1"/>
  <c r="U547" i="1"/>
  <c r="U548" i="1"/>
  <c r="U549" i="1"/>
  <c r="U550" i="1"/>
  <c r="U551" i="1"/>
  <c r="U552" i="1"/>
  <c r="U553" i="1"/>
  <c r="U554" i="1"/>
  <c r="U555" i="1"/>
  <c r="U556" i="1"/>
  <c r="U557" i="1"/>
  <c r="U558" i="1"/>
  <c r="U559" i="1"/>
  <c r="U560" i="1"/>
  <c r="U561" i="1"/>
  <c r="U562" i="1"/>
  <c r="U563" i="1"/>
  <c r="U564" i="1"/>
  <c r="U565" i="1"/>
  <c r="U566" i="1"/>
  <c r="U567" i="1"/>
  <c r="U568" i="1"/>
  <c r="U569" i="1"/>
  <c r="U570" i="1"/>
  <c r="U571" i="1"/>
  <c r="U572" i="1"/>
  <c r="U573" i="1"/>
  <c r="U574" i="1"/>
  <c r="U575" i="1"/>
  <c r="U576" i="1"/>
  <c r="U577" i="1"/>
  <c r="U578" i="1"/>
  <c r="U579" i="1"/>
  <c r="U580" i="1"/>
  <c r="U581" i="1"/>
  <c r="U582" i="1"/>
  <c r="U583" i="1"/>
  <c r="U584" i="1"/>
  <c r="U585" i="1"/>
  <c r="U586" i="1"/>
  <c r="U587" i="1"/>
  <c r="U588" i="1"/>
  <c r="U589" i="1"/>
  <c r="U590" i="1"/>
  <c r="U591" i="1"/>
  <c r="U592" i="1"/>
  <c r="U593" i="1"/>
  <c r="U594" i="1"/>
  <c r="U595" i="1"/>
  <c r="U596" i="1"/>
  <c r="U597" i="1"/>
  <c r="U598" i="1"/>
  <c r="U599" i="1"/>
  <c r="U600" i="1"/>
  <c r="U601" i="1"/>
  <c r="U602" i="1"/>
  <c r="U603" i="1"/>
  <c r="U604" i="1"/>
  <c r="U605" i="1"/>
  <c r="U606" i="1"/>
  <c r="U607" i="1"/>
  <c r="U608" i="1"/>
  <c r="U609" i="1"/>
  <c r="U610" i="1"/>
  <c r="U611" i="1"/>
  <c r="U612" i="1"/>
  <c r="U613" i="1"/>
  <c r="U614" i="1"/>
  <c r="U615" i="1"/>
  <c r="U616" i="1"/>
  <c r="U617" i="1"/>
  <c r="U618" i="1"/>
  <c r="U619" i="1"/>
  <c r="U620" i="1"/>
  <c r="U621" i="1"/>
  <c r="U622" i="1"/>
  <c r="U623" i="1"/>
  <c r="U624" i="1"/>
  <c r="U625" i="1"/>
  <c r="U626" i="1"/>
  <c r="U627" i="1"/>
  <c r="U628" i="1"/>
  <c r="U629" i="1"/>
  <c r="U630" i="1"/>
  <c r="U631" i="1"/>
  <c r="U632" i="1"/>
  <c r="U633" i="1"/>
  <c r="U634" i="1"/>
  <c r="U635" i="1"/>
  <c r="U636" i="1"/>
  <c r="U637" i="1"/>
  <c r="U638" i="1"/>
  <c r="U639" i="1"/>
  <c r="U640" i="1"/>
  <c r="U641" i="1"/>
  <c r="U642" i="1"/>
  <c r="U643" i="1"/>
  <c r="U644" i="1"/>
  <c r="U645" i="1"/>
  <c r="U646" i="1"/>
  <c r="U647" i="1"/>
  <c r="U648" i="1"/>
  <c r="U649" i="1"/>
  <c r="U650" i="1"/>
  <c r="U651" i="1"/>
  <c r="U652" i="1"/>
  <c r="U653" i="1"/>
  <c r="U654" i="1"/>
  <c r="U655" i="1"/>
  <c r="U656" i="1"/>
  <c r="U657" i="1"/>
  <c r="U658" i="1"/>
  <c r="U659" i="1"/>
  <c r="U660" i="1"/>
  <c r="U661" i="1"/>
  <c r="U662" i="1"/>
  <c r="U14" i="1"/>
  <c r="D85" i="5"/>
  <c r="D84" i="5"/>
  <c r="P14" i="1" l="1"/>
  <c r="O126" i="1"/>
  <c r="O122" i="1"/>
  <c r="O118" i="1"/>
  <c r="O114" i="1"/>
  <c r="O110" i="1"/>
  <c r="O106" i="1"/>
  <c r="O102" i="1"/>
  <c r="O98" i="1"/>
  <c r="O94" i="1"/>
  <c r="O90" i="1"/>
  <c r="O86" i="1"/>
  <c r="O82" i="1"/>
  <c r="O78" i="1"/>
  <c r="O74" i="1"/>
  <c r="O70" i="1"/>
  <c r="O66" i="1"/>
  <c r="O62" i="1"/>
  <c r="O58" i="1"/>
  <c r="O54" i="1"/>
  <c r="O50" i="1"/>
  <c r="O46" i="1"/>
  <c r="O42" i="1"/>
  <c r="O38" i="1"/>
  <c r="O34" i="1"/>
  <c r="O30" i="1"/>
  <c r="O26" i="1"/>
  <c r="O22" i="1"/>
  <c r="O18" i="1"/>
  <c r="O14" i="1"/>
  <c r="O127" i="1"/>
  <c r="O128" i="1"/>
  <c r="O125" i="1"/>
  <c r="O121" i="1"/>
  <c r="O117" i="1"/>
  <c r="O113" i="1"/>
  <c r="O109" i="1"/>
  <c r="O105" i="1"/>
  <c r="O101" i="1"/>
  <c r="O97" i="1"/>
  <c r="O93" i="1"/>
  <c r="O89" i="1"/>
  <c r="O85" i="1"/>
  <c r="O81" i="1"/>
  <c r="O77" i="1"/>
  <c r="O73" i="1"/>
  <c r="O69" i="1"/>
  <c r="O65" i="1"/>
  <c r="O61" i="1"/>
  <c r="O57" i="1"/>
  <c r="O53" i="1"/>
  <c r="O49" i="1"/>
  <c r="O45" i="1"/>
  <c r="O41" i="1"/>
  <c r="O37" i="1"/>
  <c r="O33" i="1"/>
  <c r="O29" i="1"/>
  <c r="O25" i="1"/>
  <c r="O21" i="1"/>
  <c r="O17" i="1"/>
  <c r="O124" i="1"/>
  <c r="O120" i="1"/>
  <c r="O116" i="1"/>
  <c r="O112" i="1"/>
  <c r="O108" i="1"/>
  <c r="O104" i="1"/>
  <c r="O100" i="1"/>
  <c r="O96" i="1"/>
  <c r="O92" i="1"/>
  <c r="O88" i="1"/>
  <c r="O84" i="1"/>
  <c r="O80" i="1"/>
  <c r="O76" i="1"/>
  <c r="O72" i="1"/>
  <c r="O68" i="1"/>
  <c r="O64" i="1"/>
  <c r="O60" i="1"/>
  <c r="O56" i="1"/>
  <c r="O52" i="1"/>
  <c r="O48" i="1"/>
  <c r="O44" i="1"/>
  <c r="O40" i="1"/>
  <c r="O36" i="1"/>
  <c r="O32" i="1"/>
  <c r="O28" i="1"/>
  <c r="O24" i="1"/>
  <c r="O20" i="1"/>
  <c r="O16" i="1"/>
  <c r="I24" i="5"/>
  <c r="I27" i="5"/>
  <c r="O13" i="5"/>
  <c r="I13" i="5" s="1"/>
  <c r="O14" i="5"/>
  <c r="I14" i="5" s="1"/>
  <c r="O15" i="5"/>
  <c r="I15" i="5" s="1"/>
  <c r="O12" i="5"/>
  <c r="I12" i="5" s="1"/>
  <c r="O10" i="5"/>
  <c r="K10" i="5" s="1"/>
  <c r="L10" i="5" s="1"/>
  <c r="L11" i="5" s="1"/>
  <c r="E42" i="5"/>
  <c r="E41" i="5"/>
  <c r="E40" i="5"/>
  <c r="E39" i="5"/>
  <c r="E38" i="5"/>
  <c r="E37" i="5"/>
  <c r="E36" i="5"/>
  <c r="G119" i="3"/>
  <c r="G118" i="3"/>
  <c r="G117" i="3"/>
  <c r="G116" i="3"/>
  <c r="G115" i="3"/>
  <c r="G114" i="3"/>
  <c r="G113" i="3"/>
  <c r="G112" i="3"/>
  <c r="G111" i="3"/>
  <c r="G110" i="3"/>
  <c r="G109" i="3"/>
  <c r="G108" i="3"/>
  <c r="G107" i="3"/>
  <c r="G106" i="3"/>
  <c r="G105" i="3"/>
  <c r="G104" i="3"/>
  <c r="G103" i="3"/>
  <c r="G102" i="3"/>
  <c r="G101" i="3"/>
  <c r="G100" i="3"/>
  <c r="G99" i="3"/>
  <c r="G98" i="3"/>
  <c r="G97" i="3"/>
  <c r="G96" i="3"/>
  <c r="G95" i="3"/>
  <c r="G94" i="3"/>
  <c r="G93" i="3"/>
  <c r="G92" i="3"/>
  <c r="G91" i="3"/>
  <c r="G90" i="3"/>
  <c r="G89" i="3"/>
  <c r="G88" i="3"/>
  <c r="G87" i="3"/>
  <c r="G86" i="3"/>
  <c r="G85" i="3"/>
  <c r="G84" i="3"/>
  <c r="G83" i="3"/>
  <c r="G82" i="3"/>
  <c r="G81" i="3"/>
  <c r="G80" i="3"/>
  <c r="G79" i="3"/>
  <c r="G78" i="3"/>
  <c r="G77" i="3"/>
  <c r="G76" i="3"/>
  <c r="G75" i="3"/>
  <c r="G74" i="3"/>
  <c r="G73" i="3"/>
  <c r="G72" i="3"/>
  <c r="G71" i="3"/>
  <c r="G70" i="3"/>
  <c r="G69" i="3"/>
  <c r="G68" i="3"/>
  <c r="G67" i="3"/>
  <c r="G66" i="3"/>
  <c r="G65" i="3"/>
  <c r="G64" i="3"/>
  <c r="G63" i="3"/>
  <c r="G62" i="3"/>
  <c r="G61" i="3"/>
  <c r="G60" i="3"/>
  <c r="G59" i="3"/>
  <c r="G58" i="3"/>
  <c r="G57" i="3"/>
  <c r="G56" i="3"/>
  <c r="G55" i="3"/>
  <c r="G54" i="3"/>
  <c r="G53" i="3"/>
  <c r="G52" i="3"/>
  <c r="G51" i="3"/>
  <c r="G50" i="3"/>
  <c r="G49" i="3"/>
  <c r="G48" i="3"/>
  <c r="G47" i="3"/>
  <c r="G46" i="3"/>
  <c r="G45" i="3"/>
  <c r="G44" i="3"/>
  <c r="G43" i="3"/>
  <c r="G42" i="3"/>
  <c r="G41" i="3"/>
  <c r="G40" i="3"/>
  <c r="G39" i="3"/>
  <c r="G38" i="3"/>
  <c r="G37" i="3"/>
  <c r="G36" i="3"/>
  <c r="G35" i="3"/>
  <c r="G34" i="3"/>
  <c r="G33" i="3"/>
  <c r="G32" i="3"/>
  <c r="G31" i="3"/>
  <c r="G30" i="3"/>
  <c r="G29" i="3"/>
  <c r="G28" i="3"/>
  <c r="G27" i="3"/>
  <c r="G26" i="3"/>
  <c r="G25" i="3"/>
  <c r="G24" i="3"/>
  <c r="G23" i="3"/>
  <c r="G22" i="3"/>
  <c r="G21" i="3"/>
  <c r="G20" i="3"/>
  <c r="G19" i="3"/>
  <c r="G18" i="3"/>
  <c r="G17" i="3"/>
  <c r="G16" i="3"/>
  <c r="G15" i="3"/>
  <c r="G14" i="3"/>
  <c r="G13" i="3"/>
  <c r="G12" i="3"/>
  <c r="G11" i="3"/>
  <c r="G10" i="3"/>
  <c r="G9" i="3"/>
  <c r="G8" i="3"/>
  <c r="G7" i="3"/>
  <c r="E46" i="2"/>
  <c r="E45" i="2"/>
  <c r="E44" i="2"/>
  <c r="E43" i="2"/>
  <c r="E42" i="2"/>
  <c r="E41" i="2"/>
  <c r="E40" i="2"/>
  <c r="E39" i="2"/>
  <c r="E38" i="2"/>
  <c r="E37" i="2"/>
  <c r="E36" i="2"/>
  <c r="E35" i="2"/>
  <c r="E34" i="2"/>
  <c r="E33" i="2"/>
  <c r="E32" i="2"/>
  <c r="E31" i="2"/>
  <c r="E30" i="2"/>
  <c r="E29" i="2"/>
  <c r="E28" i="2"/>
  <c r="E27" i="2"/>
  <c r="E26" i="2"/>
  <c r="E25" i="2"/>
  <c r="E24" i="2"/>
  <c r="E23" i="2"/>
  <c r="E22" i="2"/>
  <c r="E21" i="2"/>
  <c r="E20" i="2"/>
  <c r="E19" i="2"/>
  <c r="E18" i="2"/>
  <c r="E17" i="2"/>
  <c r="E16" i="2"/>
  <c r="E15" i="2"/>
  <c r="I128" i="1"/>
  <c r="J128" i="1" s="1"/>
  <c r="L128" i="1" s="1"/>
  <c r="M128" i="1" s="1"/>
  <c r="E128" i="1"/>
  <c r="F128" i="1" s="1"/>
  <c r="I127" i="1"/>
  <c r="J127" i="1" s="1"/>
  <c r="L127" i="1" s="1"/>
  <c r="M127" i="1" s="1"/>
  <c r="E127" i="1"/>
  <c r="F127" i="1" s="1"/>
  <c r="I126" i="1"/>
  <c r="J126" i="1" s="1"/>
  <c r="L126" i="1" s="1"/>
  <c r="M126" i="1" s="1"/>
  <c r="E126" i="1"/>
  <c r="F126" i="1" s="1"/>
  <c r="I125" i="1"/>
  <c r="J125" i="1" s="1"/>
  <c r="L125" i="1" s="1"/>
  <c r="M125" i="1" s="1"/>
  <c r="E125" i="1"/>
  <c r="F125" i="1" s="1"/>
  <c r="I124" i="1"/>
  <c r="J124" i="1" s="1"/>
  <c r="L124" i="1" s="1"/>
  <c r="M124" i="1" s="1"/>
  <c r="E124" i="1"/>
  <c r="F124" i="1" s="1"/>
  <c r="I123" i="1"/>
  <c r="J123" i="1" s="1"/>
  <c r="L123" i="1" s="1"/>
  <c r="M123" i="1" s="1"/>
  <c r="E123" i="1"/>
  <c r="F123" i="1" s="1"/>
  <c r="I122" i="1"/>
  <c r="J122" i="1" s="1"/>
  <c r="L122" i="1" s="1"/>
  <c r="M122" i="1" s="1"/>
  <c r="E122" i="1"/>
  <c r="F122" i="1" s="1"/>
  <c r="I121" i="1"/>
  <c r="J121" i="1" s="1"/>
  <c r="E121" i="1"/>
  <c r="F121" i="1" s="1"/>
  <c r="I120" i="1"/>
  <c r="J120" i="1" s="1"/>
  <c r="E120" i="1"/>
  <c r="F120" i="1" s="1"/>
  <c r="I119" i="1"/>
  <c r="J119" i="1" s="1"/>
  <c r="L119" i="1" s="1"/>
  <c r="M119" i="1" s="1"/>
  <c r="E119" i="1"/>
  <c r="F119" i="1" s="1"/>
  <c r="I118" i="1"/>
  <c r="J118" i="1" s="1"/>
  <c r="L118" i="1" s="1"/>
  <c r="M118" i="1" s="1"/>
  <c r="E118" i="1"/>
  <c r="F118" i="1" s="1"/>
  <c r="I117" i="1"/>
  <c r="J117" i="1" s="1"/>
  <c r="L117" i="1" s="1"/>
  <c r="M117" i="1" s="1"/>
  <c r="E117" i="1"/>
  <c r="F117" i="1" s="1"/>
  <c r="I116" i="1"/>
  <c r="J116" i="1" s="1"/>
  <c r="L116" i="1" s="1"/>
  <c r="M116" i="1" s="1"/>
  <c r="E116" i="1"/>
  <c r="F116" i="1" s="1"/>
  <c r="I115" i="1"/>
  <c r="J115" i="1" s="1"/>
  <c r="L115" i="1" s="1"/>
  <c r="M115" i="1" s="1"/>
  <c r="E115" i="1"/>
  <c r="F115" i="1" s="1"/>
  <c r="I114" i="1"/>
  <c r="J114" i="1" s="1"/>
  <c r="L114" i="1" s="1"/>
  <c r="M114" i="1" s="1"/>
  <c r="E114" i="1"/>
  <c r="F114" i="1" s="1"/>
  <c r="I113" i="1"/>
  <c r="J113" i="1" s="1"/>
  <c r="L113" i="1" s="1"/>
  <c r="M113" i="1" s="1"/>
  <c r="E113" i="1"/>
  <c r="F113" i="1" s="1"/>
  <c r="I112" i="1"/>
  <c r="J112" i="1" s="1"/>
  <c r="L112" i="1" s="1"/>
  <c r="M112" i="1" s="1"/>
  <c r="E112" i="1"/>
  <c r="F112" i="1" s="1"/>
  <c r="I111" i="1"/>
  <c r="J111" i="1" s="1"/>
  <c r="L111" i="1" s="1"/>
  <c r="M111" i="1" s="1"/>
  <c r="E111" i="1"/>
  <c r="F111" i="1" s="1"/>
  <c r="I110" i="1"/>
  <c r="J110" i="1" s="1"/>
  <c r="L110" i="1" s="1"/>
  <c r="M110" i="1" s="1"/>
  <c r="E110" i="1"/>
  <c r="F110" i="1" s="1"/>
  <c r="I109" i="1"/>
  <c r="J109" i="1" s="1"/>
  <c r="L109" i="1" s="1"/>
  <c r="M109" i="1" s="1"/>
  <c r="E109" i="1"/>
  <c r="F109" i="1" s="1"/>
  <c r="I108" i="1"/>
  <c r="J108" i="1" s="1"/>
  <c r="L108" i="1" s="1"/>
  <c r="M108" i="1" s="1"/>
  <c r="E108" i="1"/>
  <c r="F108" i="1" s="1"/>
  <c r="I107" i="1"/>
  <c r="J107" i="1" s="1"/>
  <c r="L107" i="1" s="1"/>
  <c r="M107" i="1" s="1"/>
  <c r="E107" i="1"/>
  <c r="F107" i="1" s="1"/>
  <c r="I106" i="1"/>
  <c r="J106" i="1" s="1"/>
  <c r="L106" i="1" s="1"/>
  <c r="M106" i="1" s="1"/>
  <c r="E106" i="1"/>
  <c r="F106" i="1" s="1"/>
  <c r="I105" i="1"/>
  <c r="J105" i="1" s="1"/>
  <c r="L105" i="1" s="1"/>
  <c r="M105" i="1" s="1"/>
  <c r="E105" i="1"/>
  <c r="F105" i="1" s="1"/>
  <c r="I104" i="1"/>
  <c r="J104" i="1" s="1"/>
  <c r="L104" i="1" s="1"/>
  <c r="M104" i="1" s="1"/>
  <c r="E104" i="1"/>
  <c r="F104" i="1" s="1"/>
  <c r="I103" i="1"/>
  <c r="J103" i="1" s="1"/>
  <c r="L103" i="1" s="1"/>
  <c r="M103" i="1" s="1"/>
  <c r="E103" i="1"/>
  <c r="F103" i="1" s="1"/>
  <c r="I102" i="1"/>
  <c r="J102" i="1" s="1"/>
  <c r="L102" i="1" s="1"/>
  <c r="M102" i="1" s="1"/>
  <c r="E102" i="1"/>
  <c r="F102" i="1" s="1"/>
  <c r="I101" i="1"/>
  <c r="J101" i="1" s="1"/>
  <c r="L101" i="1" s="1"/>
  <c r="M101" i="1" s="1"/>
  <c r="E101" i="1"/>
  <c r="F101" i="1" s="1"/>
  <c r="I100" i="1"/>
  <c r="J100" i="1" s="1"/>
  <c r="L100" i="1" s="1"/>
  <c r="M100" i="1" s="1"/>
  <c r="E100" i="1"/>
  <c r="F100" i="1" s="1"/>
  <c r="I99" i="1"/>
  <c r="J99" i="1" s="1"/>
  <c r="L99" i="1" s="1"/>
  <c r="M99" i="1" s="1"/>
  <c r="E99" i="1"/>
  <c r="F99" i="1" s="1"/>
  <c r="I98" i="1"/>
  <c r="J98" i="1" s="1"/>
  <c r="L98" i="1" s="1"/>
  <c r="M98" i="1" s="1"/>
  <c r="E98" i="1"/>
  <c r="F98" i="1" s="1"/>
  <c r="I97" i="1"/>
  <c r="J97" i="1" s="1"/>
  <c r="L97" i="1" s="1"/>
  <c r="M97" i="1" s="1"/>
  <c r="E97" i="1"/>
  <c r="F97" i="1" s="1"/>
  <c r="I96" i="1"/>
  <c r="J96" i="1" s="1"/>
  <c r="L96" i="1" s="1"/>
  <c r="M96" i="1" s="1"/>
  <c r="E96" i="1"/>
  <c r="F96" i="1" s="1"/>
  <c r="I95" i="1"/>
  <c r="J95" i="1" s="1"/>
  <c r="L95" i="1" s="1"/>
  <c r="M95" i="1" s="1"/>
  <c r="E95" i="1"/>
  <c r="F95" i="1" s="1"/>
  <c r="I94" i="1"/>
  <c r="J94" i="1" s="1"/>
  <c r="L94" i="1" s="1"/>
  <c r="M94" i="1" s="1"/>
  <c r="E94" i="1"/>
  <c r="F94" i="1" s="1"/>
  <c r="I93" i="1"/>
  <c r="J93" i="1" s="1"/>
  <c r="L93" i="1" s="1"/>
  <c r="M93" i="1" s="1"/>
  <c r="E93" i="1"/>
  <c r="F93" i="1" s="1"/>
  <c r="I92" i="1"/>
  <c r="J92" i="1" s="1"/>
  <c r="L92" i="1" s="1"/>
  <c r="M92" i="1" s="1"/>
  <c r="E92" i="1"/>
  <c r="F92" i="1" s="1"/>
  <c r="I91" i="1"/>
  <c r="J91" i="1" s="1"/>
  <c r="L91" i="1" s="1"/>
  <c r="M91" i="1" s="1"/>
  <c r="E91" i="1"/>
  <c r="F91" i="1" s="1"/>
  <c r="I90" i="1"/>
  <c r="J90" i="1" s="1"/>
  <c r="L90" i="1" s="1"/>
  <c r="M90" i="1" s="1"/>
  <c r="E90" i="1"/>
  <c r="F90" i="1" s="1"/>
  <c r="I89" i="1"/>
  <c r="J89" i="1" s="1"/>
  <c r="L89" i="1" s="1"/>
  <c r="M89" i="1" s="1"/>
  <c r="E89" i="1"/>
  <c r="F89" i="1" s="1"/>
  <c r="I88" i="1"/>
  <c r="J88" i="1" s="1"/>
  <c r="L88" i="1" s="1"/>
  <c r="M88" i="1" s="1"/>
  <c r="E88" i="1"/>
  <c r="F88" i="1" s="1"/>
  <c r="I87" i="1"/>
  <c r="J87" i="1" s="1"/>
  <c r="L87" i="1" s="1"/>
  <c r="M87" i="1" s="1"/>
  <c r="E87" i="1"/>
  <c r="F87" i="1" s="1"/>
  <c r="I86" i="1"/>
  <c r="J86" i="1" s="1"/>
  <c r="L86" i="1" s="1"/>
  <c r="M86" i="1" s="1"/>
  <c r="E86" i="1"/>
  <c r="F86" i="1" s="1"/>
  <c r="I85" i="1"/>
  <c r="J85" i="1" s="1"/>
  <c r="L85" i="1" s="1"/>
  <c r="M85" i="1" s="1"/>
  <c r="E85" i="1"/>
  <c r="F85" i="1" s="1"/>
  <c r="I84" i="1"/>
  <c r="J84" i="1" s="1"/>
  <c r="L84" i="1" s="1"/>
  <c r="M84" i="1" s="1"/>
  <c r="E84" i="1"/>
  <c r="F84" i="1" s="1"/>
  <c r="I83" i="1"/>
  <c r="J83" i="1" s="1"/>
  <c r="L83" i="1" s="1"/>
  <c r="M83" i="1" s="1"/>
  <c r="E83" i="1"/>
  <c r="F83" i="1" s="1"/>
  <c r="I82" i="1"/>
  <c r="J82" i="1" s="1"/>
  <c r="L82" i="1" s="1"/>
  <c r="M82" i="1" s="1"/>
  <c r="E82" i="1"/>
  <c r="F82" i="1" s="1"/>
  <c r="I81" i="1"/>
  <c r="J81" i="1" s="1"/>
  <c r="L81" i="1" s="1"/>
  <c r="M81" i="1" s="1"/>
  <c r="E81" i="1"/>
  <c r="F81" i="1" s="1"/>
  <c r="I80" i="1"/>
  <c r="J80" i="1" s="1"/>
  <c r="L80" i="1" s="1"/>
  <c r="M80" i="1" s="1"/>
  <c r="E80" i="1"/>
  <c r="F80" i="1" s="1"/>
  <c r="I79" i="1"/>
  <c r="J79" i="1" s="1"/>
  <c r="L79" i="1" s="1"/>
  <c r="M79" i="1" s="1"/>
  <c r="E79" i="1"/>
  <c r="F79" i="1" s="1"/>
  <c r="I78" i="1"/>
  <c r="J78" i="1" s="1"/>
  <c r="L78" i="1" s="1"/>
  <c r="M78" i="1" s="1"/>
  <c r="E78" i="1"/>
  <c r="F78" i="1" s="1"/>
  <c r="I77" i="1"/>
  <c r="J77" i="1" s="1"/>
  <c r="L77" i="1" s="1"/>
  <c r="M77" i="1" s="1"/>
  <c r="E77" i="1"/>
  <c r="F77" i="1" s="1"/>
  <c r="I76" i="1"/>
  <c r="J76" i="1" s="1"/>
  <c r="L76" i="1" s="1"/>
  <c r="M76" i="1" s="1"/>
  <c r="E76" i="1"/>
  <c r="F76" i="1" s="1"/>
  <c r="I75" i="1"/>
  <c r="J75" i="1" s="1"/>
  <c r="E75" i="1"/>
  <c r="I74" i="1"/>
  <c r="J74" i="1" s="1"/>
  <c r="E74" i="1"/>
  <c r="F74" i="1" s="1"/>
  <c r="I73" i="1"/>
  <c r="J73" i="1" s="1"/>
  <c r="E73" i="1"/>
  <c r="F73" i="1" s="1"/>
  <c r="I72" i="1"/>
  <c r="J72" i="1" s="1"/>
  <c r="L72" i="1" s="1"/>
  <c r="M72" i="1" s="1"/>
  <c r="E72" i="1"/>
  <c r="F72" i="1" s="1"/>
  <c r="I71" i="1"/>
  <c r="J71" i="1" s="1"/>
  <c r="L71" i="1" s="1"/>
  <c r="M71" i="1" s="1"/>
  <c r="E71" i="1"/>
  <c r="F71" i="1" s="1"/>
  <c r="I70" i="1"/>
  <c r="J70" i="1" s="1"/>
  <c r="E70" i="1"/>
  <c r="F70" i="1" s="1"/>
  <c r="I69" i="1"/>
  <c r="J69" i="1" s="1"/>
  <c r="E69" i="1"/>
  <c r="F69" i="1" s="1"/>
  <c r="I68" i="1"/>
  <c r="J68" i="1" s="1"/>
  <c r="L68" i="1" s="1"/>
  <c r="M68" i="1" s="1"/>
  <c r="E68" i="1"/>
  <c r="F68" i="1" s="1"/>
  <c r="I67" i="1"/>
  <c r="J67" i="1" s="1"/>
  <c r="E67" i="1"/>
  <c r="F67" i="1" s="1"/>
  <c r="I66" i="1"/>
  <c r="J66" i="1" s="1"/>
  <c r="L66" i="1" s="1"/>
  <c r="M66" i="1" s="1"/>
  <c r="E66" i="1"/>
  <c r="F66" i="1" s="1"/>
  <c r="I65" i="1"/>
  <c r="J65" i="1" s="1"/>
  <c r="L65" i="1" s="1"/>
  <c r="M65" i="1" s="1"/>
  <c r="E65" i="1"/>
  <c r="F65" i="1" s="1"/>
  <c r="I64" i="1"/>
  <c r="J64" i="1" s="1"/>
  <c r="L64" i="1" s="1"/>
  <c r="M64" i="1" s="1"/>
  <c r="E64" i="1"/>
  <c r="F64" i="1" s="1"/>
  <c r="I63" i="1"/>
  <c r="J63" i="1" s="1"/>
  <c r="L63" i="1" s="1"/>
  <c r="M63" i="1" s="1"/>
  <c r="E63" i="1"/>
  <c r="F63" i="1" s="1"/>
  <c r="I62" i="1"/>
  <c r="J62" i="1" s="1"/>
  <c r="L62" i="1" s="1"/>
  <c r="M62" i="1" s="1"/>
  <c r="E62" i="1"/>
  <c r="F62" i="1" s="1"/>
  <c r="I61" i="1"/>
  <c r="J61" i="1" s="1"/>
  <c r="L61" i="1" s="1"/>
  <c r="M61" i="1" s="1"/>
  <c r="E61" i="1"/>
  <c r="F61" i="1" s="1"/>
  <c r="I60" i="1"/>
  <c r="J60" i="1" s="1"/>
  <c r="L60" i="1" s="1"/>
  <c r="M60" i="1" s="1"/>
  <c r="E60" i="1"/>
  <c r="F60" i="1" s="1"/>
  <c r="I59" i="1"/>
  <c r="J59" i="1" s="1"/>
  <c r="L59" i="1" s="1"/>
  <c r="M59" i="1" s="1"/>
  <c r="E59" i="1"/>
  <c r="F59" i="1" s="1"/>
  <c r="I58" i="1"/>
  <c r="J58" i="1" s="1"/>
  <c r="L58" i="1" s="1"/>
  <c r="M58" i="1" s="1"/>
  <c r="E58" i="1"/>
  <c r="F58" i="1" s="1"/>
  <c r="I57" i="1"/>
  <c r="J57" i="1" s="1"/>
  <c r="L57" i="1" s="1"/>
  <c r="M57" i="1" s="1"/>
  <c r="E57" i="1"/>
  <c r="F57" i="1" s="1"/>
  <c r="I56" i="1"/>
  <c r="J56" i="1" s="1"/>
  <c r="L56" i="1" s="1"/>
  <c r="M56" i="1" s="1"/>
  <c r="E56" i="1"/>
  <c r="F56" i="1" s="1"/>
  <c r="I55" i="1"/>
  <c r="J55" i="1" s="1"/>
  <c r="L55" i="1" s="1"/>
  <c r="M55" i="1" s="1"/>
  <c r="E55" i="1"/>
  <c r="F55" i="1" s="1"/>
  <c r="I54" i="1"/>
  <c r="J54" i="1" s="1"/>
  <c r="L54" i="1" s="1"/>
  <c r="M54" i="1" s="1"/>
  <c r="E54" i="1"/>
  <c r="F54" i="1" s="1"/>
  <c r="I53" i="1"/>
  <c r="J53" i="1" s="1"/>
  <c r="L53" i="1" s="1"/>
  <c r="M53" i="1" s="1"/>
  <c r="E53" i="1"/>
  <c r="F53" i="1" s="1"/>
  <c r="I52" i="1"/>
  <c r="J52" i="1" s="1"/>
  <c r="L52" i="1" s="1"/>
  <c r="M52" i="1" s="1"/>
  <c r="E52" i="1"/>
  <c r="F52" i="1" s="1"/>
  <c r="I51" i="1"/>
  <c r="J51" i="1" s="1"/>
  <c r="L51" i="1" s="1"/>
  <c r="M51" i="1" s="1"/>
  <c r="E51" i="1"/>
  <c r="F51" i="1" s="1"/>
  <c r="I50" i="1"/>
  <c r="J50" i="1" s="1"/>
  <c r="L50" i="1" s="1"/>
  <c r="M50" i="1" s="1"/>
  <c r="E50" i="1"/>
  <c r="F50" i="1" s="1"/>
  <c r="I49" i="1"/>
  <c r="J49" i="1" s="1"/>
  <c r="L49" i="1" s="1"/>
  <c r="M49" i="1" s="1"/>
  <c r="E49" i="1"/>
  <c r="F49" i="1" s="1"/>
  <c r="I48" i="1"/>
  <c r="J48" i="1" s="1"/>
  <c r="L48" i="1" s="1"/>
  <c r="M48" i="1" s="1"/>
  <c r="E48" i="1"/>
  <c r="F48" i="1" s="1"/>
  <c r="I47" i="1"/>
  <c r="J47" i="1" s="1"/>
  <c r="L47" i="1" s="1"/>
  <c r="M47" i="1" s="1"/>
  <c r="E47" i="1"/>
  <c r="F47" i="1" s="1"/>
  <c r="I46" i="1"/>
  <c r="J46" i="1" s="1"/>
  <c r="E46" i="1"/>
  <c r="F46" i="1" s="1"/>
  <c r="I45" i="1"/>
  <c r="J45" i="1" s="1"/>
  <c r="L45" i="1" s="1"/>
  <c r="M45" i="1" s="1"/>
  <c r="E45" i="1"/>
  <c r="F45" i="1" s="1"/>
  <c r="I44" i="1"/>
  <c r="J44" i="1" s="1"/>
  <c r="L44" i="1" s="1"/>
  <c r="M44" i="1" s="1"/>
  <c r="E44" i="1"/>
  <c r="F44" i="1" s="1"/>
  <c r="I43" i="1"/>
  <c r="J43" i="1" s="1"/>
  <c r="E43" i="1"/>
  <c r="F43" i="1" s="1"/>
  <c r="I42" i="1"/>
  <c r="J42" i="1" s="1"/>
  <c r="E42" i="1"/>
  <c r="F42" i="1" s="1"/>
  <c r="I41" i="1"/>
  <c r="J41" i="1" s="1"/>
  <c r="E41" i="1"/>
  <c r="F41" i="1" s="1"/>
  <c r="I40" i="1"/>
  <c r="J40" i="1" s="1"/>
  <c r="E40" i="1"/>
  <c r="F40" i="1" s="1"/>
  <c r="I39" i="1"/>
  <c r="J39" i="1" s="1"/>
  <c r="L39" i="1" s="1"/>
  <c r="M39" i="1" s="1"/>
  <c r="E39" i="1"/>
  <c r="F39" i="1" s="1"/>
  <c r="I38" i="1"/>
  <c r="J38" i="1" s="1"/>
  <c r="L38" i="1" s="1"/>
  <c r="M38" i="1" s="1"/>
  <c r="E38" i="1"/>
  <c r="F38" i="1" s="1"/>
  <c r="I37" i="1"/>
  <c r="J37" i="1" s="1"/>
  <c r="L37" i="1" s="1"/>
  <c r="M37" i="1" s="1"/>
  <c r="E37" i="1"/>
  <c r="F37" i="1" s="1"/>
  <c r="I36" i="1"/>
  <c r="J36" i="1" s="1"/>
  <c r="L36" i="1" s="1"/>
  <c r="M36" i="1" s="1"/>
  <c r="E36" i="1"/>
  <c r="F36" i="1" s="1"/>
  <c r="I35" i="1"/>
  <c r="J35" i="1" s="1"/>
  <c r="L35" i="1" s="1"/>
  <c r="M35" i="1" s="1"/>
  <c r="E35" i="1"/>
  <c r="F35" i="1" s="1"/>
  <c r="I34" i="1"/>
  <c r="J34" i="1" s="1"/>
  <c r="L34" i="1" s="1"/>
  <c r="M34" i="1" s="1"/>
  <c r="E34" i="1"/>
  <c r="F34" i="1" s="1"/>
  <c r="I33" i="1"/>
  <c r="J33" i="1" s="1"/>
  <c r="L33" i="1" s="1"/>
  <c r="M33" i="1" s="1"/>
  <c r="E33" i="1"/>
  <c r="F33" i="1" s="1"/>
  <c r="I32" i="1"/>
  <c r="J32" i="1" s="1"/>
  <c r="L32" i="1" s="1"/>
  <c r="M32" i="1" s="1"/>
  <c r="E32" i="1"/>
  <c r="F32" i="1" s="1"/>
  <c r="I31" i="1"/>
  <c r="J31" i="1" s="1"/>
  <c r="L31" i="1" s="1"/>
  <c r="M31" i="1" s="1"/>
  <c r="E31" i="1"/>
  <c r="F31" i="1" s="1"/>
  <c r="I30" i="1"/>
  <c r="J30" i="1" s="1"/>
  <c r="L30" i="1" s="1"/>
  <c r="M30" i="1" s="1"/>
  <c r="E30" i="1"/>
  <c r="F30" i="1" s="1"/>
  <c r="I29" i="1"/>
  <c r="J29" i="1" s="1"/>
  <c r="L29" i="1" s="1"/>
  <c r="M29" i="1" s="1"/>
  <c r="E29" i="1"/>
  <c r="F29" i="1" s="1"/>
  <c r="I28" i="1"/>
  <c r="J28" i="1" s="1"/>
  <c r="L28" i="1" s="1"/>
  <c r="M28" i="1" s="1"/>
  <c r="E28" i="1"/>
  <c r="F28" i="1" s="1"/>
  <c r="I27" i="1"/>
  <c r="J27" i="1" s="1"/>
  <c r="L27" i="1" s="1"/>
  <c r="M27" i="1" s="1"/>
  <c r="E27" i="1"/>
  <c r="F27" i="1" s="1"/>
  <c r="I26" i="1"/>
  <c r="J26" i="1" s="1"/>
  <c r="L26" i="1" s="1"/>
  <c r="M26" i="1" s="1"/>
  <c r="E26" i="1"/>
  <c r="F26" i="1" s="1"/>
  <c r="I25" i="1"/>
  <c r="J25" i="1" s="1"/>
  <c r="L25" i="1" s="1"/>
  <c r="M25" i="1" s="1"/>
  <c r="E25" i="1"/>
  <c r="F25" i="1" s="1"/>
  <c r="I24" i="1"/>
  <c r="J24" i="1" s="1"/>
  <c r="L24" i="1" s="1"/>
  <c r="M24" i="1" s="1"/>
  <c r="E24" i="1"/>
  <c r="F24" i="1" s="1"/>
  <c r="I23" i="1"/>
  <c r="J23" i="1" s="1"/>
  <c r="L23" i="1" s="1"/>
  <c r="M23" i="1" s="1"/>
  <c r="E23" i="1"/>
  <c r="F23" i="1" s="1"/>
  <c r="I22" i="1"/>
  <c r="J22" i="1" s="1"/>
  <c r="L22" i="1" s="1"/>
  <c r="M22" i="1" s="1"/>
  <c r="E22" i="1"/>
  <c r="F22" i="1" s="1"/>
  <c r="I21" i="1"/>
  <c r="J21" i="1" s="1"/>
  <c r="L21" i="1" s="1"/>
  <c r="M21" i="1" s="1"/>
  <c r="E21" i="1"/>
  <c r="F21" i="1" s="1"/>
  <c r="I20" i="1"/>
  <c r="J20" i="1" s="1"/>
  <c r="L20" i="1" s="1"/>
  <c r="M20" i="1" s="1"/>
  <c r="E20" i="1"/>
  <c r="F20" i="1" s="1"/>
  <c r="I19" i="1"/>
  <c r="J19" i="1" s="1"/>
  <c r="L19" i="1" s="1"/>
  <c r="M19" i="1" s="1"/>
  <c r="E19" i="1"/>
  <c r="F19" i="1" s="1"/>
  <c r="I18" i="1"/>
  <c r="J18" i="1" s="1"/>
  <c r="E18" i="1"/>
  <c r="I17" i="1"/>
  <c r="J17" i="1" s="1"/>
  <c r="L17" i="1" s="1"/>
  <c r="M17" i="1" s="1"/>
  <c r="E17" i="1"/>
  <c r="F17" i="1" s="1"/>
  <c r="I16" i="1"/>
  <c r="J16" i="1" s="1"/>
  <c r="L16" i="1" s="1"/>
  <c r="M16" i="1" s="1"/>
  <c r="E16" i="1"/>
  <c r="F16" i="1" s="1"/>
  <c r="I15" i="1"/>
  <c r="J15" i="1" s="1"/>
  <c r="L15" i="1" s="1"/>
  <c r="M15" i="1" s="1"/>
  <c r="E15" i="1"/>
  <c r="F15" i="1" s="1"/>
  <c r="D10" i="1"/>
  <c r="C17" i="5"/>
  <c r="C22" i="5"/>
  <c r="C12" i="5"/>
  <c r="C2" i="5"/>
  <c r="F18" i="1" l="1"/>
  <c r="F10" i="2"/>
  <c r="D10" i="2" s="1"/>
  <c r="L18" i="1"/>
  <c r="M18" i="1" s="1"/>
  <c r="H10" i="2"/>
  <c r="L120" i="1"/>
  <c r="M120" i="1" s="1"/>
  <c r="K26" i="5"/>
  <c r="L121" i="1"/>
  <c r="M121" i="1" s="1"/>
  <c r="K27" i="5"/>
  <c r="K13" i="5"/>
  <c r="K12" i="5"/>
  <c r="L12" i="5" s="1"/>
  <c r="K15" i="5"/>
  <c r="K14" i="5"/>
  <c r="I10" i="5"/>
  <c r="J10" i="5" s="1"/>
  <c r="L41" i="1"/>
  <c r="M41" i="1" s="1"/>
  <c r="G41" i="5"/>
  <c r="L40" i="1"/>
  <c r="M40" i="1" s="1"/>
  <c r="G42" i="5"/>
  <c r="L42" i="1"/>
  <c r="M42" i="1" s="1"/>
  <c r="G40" i="5"/>
  <c r="L46" i="1"/>
  <c r="M46" i="1" s="1"/>
  <c r="G39" i="5"/>
  <c r="L70" i="1"/>
  <c r="M70" i="1" s="1"/>
  <c r="L74" i="1"/>
  <c r="M74" i="1" s="1"/>
  <c r="F37" i="5"/>
  <c r="L69" i="1"/>
  <c r="M69" i="1" s="1"/>
  <c r="L73" i="1"/>
  <c r="M73" i="1" s="1"/>
  <c r="G36" i="5"/>
  <c r="L43" i="1"/>
  <c r="M43" i="1" s="1"/>
  <c r="G38" i="5"/>
  <c r="L67" i="1"/>
  <c r="M67" i="1" s="1"/>
  <c r="G37" i="5"/>
  <c r="L75" i="1"/>
  <c r="M75" i="1" s="1"/>
  <c r="F75" i="1"/>
  <c r="F39" i="5"/>
  <c r="F41" i="5"/>
  <c r="F36" i="5"/>
  <c r="F38" i="5"/>
  <c r="F40" i="5"/>
  <c r="F42" i="5"/>
  <c r="J11" i="5" l="1"/>
  <c r="M10" i="5"/>
  <c r="N10" i="5" s="1"/>
  <c r="P10" i="5" s="1"/>
  <c r="L13" i="5"/>
  <c r="L14" i="5" s="1"/>
  <c r="L15" i="5" s="1"/>
  <c r="J12" i="5" l="1"/>
  <c r="M11" i="5"/>
  <c r="N11" i="5" s="1"/>
  <c r="P11" i="5" s="1"/>
  <c r="J13" i="5" l="1"/>
  <c r="M12" i="5"/>
  <c r="N12" i="5" s="1"/>
  <c r="P12" i="5" s="1"/>
  <c r="J14" i="5" l="1"/>
  <c r="M13" i="5"/>
  <c r="N13" i="5" s="1"/>
  <c r="P13" i="5" s="1"/>
  <c r="J15" i="5" l="1"/>
  <c r="M15" i="5" s="1"/>
  <c r="M14" i="5"/>
  <c r="N14" i="5" s="1"/>
  <c r="P14" i="5" s="1"/>
  <c r="N15" i="5" l="1"/>
  <c r="M18" i="5" l="1"/>
  <c r="M19" i="5" s="1"/>
  <c r="P15" i="5"/>
</calcChain>
</file>

<file path=xl/sharedStrings.xml><?xml version="1.0" encoding="utf-8"?>
<sst xmlns="http://schemas.openxmlformats.org/spreadsheetml/2006/main" count="515" uniqueCount="204">
  <si>
    <t>Fournisseur</t>
  </si>
  <si>
    <t>Date Saisie</t>
  </si>
  <si>
    <t>N°Facture</t>
  </si>
  <si>
    <t>Catégorie</t>
  </si>
  <si>
    <t>Net à Payer</t>
  </si>
  <si>
    <t>Montant Payé</t>
  </si>
  <si>
    <t>Échéance</t>
  </si>
  <si>
    <t>Retard</t>
  </si>
  <si>
    <t>Solde</t>
  </si>
  <si>
    <t>Satut</t>
  </si>
  <si>
    <t>Observations</t>
  </si>
  <si>
    <t>Dettes Fournisseurs</t>
  </si>
  <si>
    <t>Saisir les informations de chaque dette fournisseur</t>
  </si>
  <si>
    <r>
      <rPr>
        <sz val="12"/>
        <rFont val="Segoe UI Black"/>
        <family val="2"/>
      </rPr>
      <t>Etat des</t>
    </r>
    <r>
      <rPr>
        <sz val="12"/>
        <color theme="4" tint="-0.249977111117893"/>
        <rFont val="Segoe UI Black"/>
        <family val="2"/>
      </rPr>
      <t xml:space="preserve"> dettes fournisseurs</t>
    </r>
  </si>
  <si>
    <t>Date règlement</t>
  </si>
  <si>
    <t>Reference</t>
  </si>
  <si>
    <t>Mode Règlement</t>
  </si>
  <si>
    <t>Date de Règlement</t>
  </si>
  <si>
    <t>Règlements Fournisseurs</t>
  </si>
  <si>
    <r>
      <rPr>
        <sz val="12"/>
        <rFont val="Segoe UI Black"/>
        <family val="2"/>
      </rPr>
      <t>Etat des</t>
    </r>
    <r>
      <rPr>
        <sz val="12"/>
        <color theme="4" tint="-0.249977111117893"/>
        <rFont val="Segoe UI Black"/>
        <family val="2"/>
      </rPr>
      <t xml:space="preserve"> Règlements fournisseurs</t>
    </r>
  </si>
  <si>
    <t>2I EXPERTISE</t>
  </si>
  <si>
    <t>AFRICA GLOBAL LOGISTICS</t>
  </si>
  <si>
    <t>MSC</t>
  </si>
  <si>
    <t>CMACGM C OTE D IVOIRE</t>
  </si>
  <si>
    <t>MAERSK COTE D IVOIRE</t>
  </si>
  <si>
    <t xml:space="preserve">GRIMALDI COTE D'IVOIRE </t>
  </si>
  <si>
    <t>OMA-CI</t>
  </si>
  <si>
    <t>PIL</t>
  </si>
  <si>
    <t>ABIDJAN TERMINAL</t>
  </si>
  <si>
    <t>MOVIS -CI</t>
  </si>
  <si>
    <t>TTS</t>
  </si>
  <si>
    <t>APM TERMINALS</t>
  </si>
  <si>
    <t>EOLIS</t>
  </si>
  <si>
    <t>PACKING SERVICE</t>
  </si>
  <si>
    <t>MEDLOG -CI</t>
  </si>
  <si>
    <t>INTEGRAL LOGISTIX</t>
  </si>
  <si>
    <t>DIAMOND SHIPPING</t>
  </si>
  <si>
    <t>TERRA</t>
  </si>
  <si>
    <t>PROLINE LOGISTIQUE</t>
  </si>
  <si>
    <t xml:space="preserve">ECUWORLDWIDE CI </t>
  </si>
  <si>
    <t>ONE</t>
  </si>
  <si>
    <t xml:space="preserve">SOGENA </t>
  </si>
  <si>
    <t xml:space="preserve">CONTINENTAL SHIPPING </t>
  </si>
  <si>
    <t xml:space="preserve">PORT AUTONOME ABIDJAN </t>
  </si>
  <si>
    <t xml:space="preserve">NAS ISVOIRE SA </t>
  </si>
  <si>
    <t xml:space="preserve">GROUPE DEXPERTISES ET DE COMMERCE </t>
  </si>
  <si>
    <t>GNA ASSURANCES</t>
  </si>
  <si>
    <t>CENTRAL SHIPPING WEST AFRICA</t>
  </si>
  <si>
    <t>NEBEX</t>
  </si>
  <si>
    <t>DONA SERVICES</t>
  </si>
  <si>
    <t>TRAORE DJAKARIDJA</t>
  </si>
  <si>
    <t>MEDLOG TRANSPORT</t>
  </si>
  <si>
    <t>KUMASAN MARINE SHIPPING SERVICES</t>
  </si>
  <si>
    <t>KOULOMAN YOUSSOUF COULIBALY</t>
  </si>
  <si>
    <t>SATL</t>
  </si>
  <si>
    <t>EAZYGO CI</t>
  </si>
  <si>
    <t>COTE D IVOIRE TERMINAL</t>
  </si>
  <si>
    <t>UNION DES ASSUREURS PROFESSIONNELS</t>
  </si>
  <si>
    <t>CEVA LOGISTICS COTE D'IVOIRE</t>
  </si>
  <si>
    <t>PACOCI</t>
  </si>
  <si>
    <t>ETCG SARL</t>
  </si>
  <si>
    <t>LABEL LOGISTIQUE SARL</t>
  </si>
  <si>
    <t>Le Conseil du Caf‚ CaCao</t>
  </si>
  <si>
    <t>TERMINAL DE SAN-PEDRO</t>
  </si>
  <si>
    <t>SACO SHIPPING CI</t>
  </si>
  <si>
    <t>TRANSIT AUTOMOBILE PLUS</t>
  </si>
  <si>
    <t>SODEF CO SARL</t>
  </si>
  <si>
    <t>TOUNDE T.C.F</t>
  </si>
  <si>
    <t>REGIES DES RECETTE DU MINADER</t>
  </si>
  <si>
    <t>INSPECTION PHYTOSANITAIRE</t>
  </si>
  <si>
    <t>CODINORM</t>
  </si>
  <si>
    <t>MAXI DISTRI COMPANY</t>
  </si>
  <si>
    <t>BAMBA LOGISTIQUE</t>
  </si>
  <si>
    <t>MOTORLAND</t>
  </si>
  <si>
    <t xml:space="preserve">RH LOGISTIQUE &amp; SERVICE </t>
  </si>
  <si>
    <t xml:space="preserve">FIRST MOVE LOGISTICS </t>
  </si>
  <si>
    <t>CCIS</t>
  </si>
  <si>
    <t>SHNEIDER LOGISTIQUE</t>
  </si>
  <si>
    <t>DANGO JEAN PAUL</t>
  </si>
  <si>
    <t>JAYCEE IMPORT -EXPORT</t>
  </si>
  <si>
    <t>BURIDA</t>
  </si>
  <si>
    <t xml:space="preserve">INTEGRAL-CHALLENGE SARL U </t>
  </si>
  <si>
    <t>FOFANA AMADOU</t>
  </si>
  <si>
    <t>EBUR FIDUCIAIRE</t>
  </si>
  <si>
    <t>CIE</t>
  </si>
  <si>
    <t>SODECI</t>
  </si>
  <si>
    <t>SCI YOKAMI</t>
  </si>
  <si>
    <t>SUNU</t>
  </si>
  <si>
    <t>WCA</t>
  </si>
  <si>
    <t>ORANGE COTE D IVOIRE</t>
  </si>
  <si>
    <t>SSIGMA VOYAGES</t>
  </si>
  <si>
    <t>TECHNOLOGY CENTER SARL</t>
  </si>
  <si>
    <t>SAM AND SONS SERVICES INTERNATIONAL</t>
  </si>
  <si>
    <t xml:space="preserve">LA FONCIERE IVOIRIENNE </t>
  </si>
  <si>
    <t>SPEKTRA GLOBAL</t>
  </si>
  <si>
    <t>SMEP-ESPACE INO</t>
  </si>
  <si>
    <t>ISIS</t>
  </si>
  <si>
    <t>G4S</t>
  </si>
  <si>
    <t>TOTAL CI</t>
  </si>
  <si>
    <t>R.A.S.S</t>
  </si>
  <si>
    <t>FRANCETRUCK</t>
  </si>
  <si>
    <t>PAIERIE DU DISTRICT D'ABIDJAN</t>
  </si>
  <si>
    <t>FOND D' ENTRETIENT ROUTIER</t>
  </si>
  <si>
    <t>BAYERO INFORMATIQUE</t>
  </si>
  <si>
    <t xml:space="preserve">KABALANE </t>
  </si>
  <si>
    <t>IMPACT PSI</t>
  </si>
  <si>
    <t>AKINTOLA</t>
  </si>
  <si>
    <t>ATELIER POIDS LOURS</t>
  </si>
  <si>
    <t>MFI</t>
  </si>
  <si>
    <t>GYAK SERVICE</t>
  </si>
  <si>
    <t>ATALIAN</t>
  </si>
  <si>
    <t xml:space="preserve">IMMOBILIER PLUS SARL </t>
  </si>
  <si>
    <t>APAVE</t>
  </si>
  <si>
    <t>SIDIBE MOUSSA</t>
  </si>
  <si>
    <t>BAO TECHNOLOGIE</t>
  </si>
  <si>
    <t>GIPS</t>
  </si>
  <si>
    <t>FAYDA DECOR</t>
  </si>
  <si>
    <t>TSA-CORPORATION</t>
  </si>
  <si>
    <t>TECHNIFROID.SN</t>
  </si>
  <si>
    <t>TRIROX-CLEAN SERVICE</t>
  </si>
  <si>
    <t>HYPER- HAYAT</t>
  </si>
  <si>
    <t>VCAM IMPORT</t>
  </si>
  <si>
    <t>MEDIASOFT LAFAYETTE</t>
  </si>
  <si>
    <t>AXLLANE</t>
  </si>
  <si>
    <t>DIBY GUY ROLAND SERVICES SARL</t>
  </si>
  <si>
    <t>C2I</t>
  </si>
  <si>
    <t>ROSS/CIE SERVICE SARL</t>
  </si>
  <si>
    <t>GARAGE ST MECANIQUE GENERALE</t>
  </si>
  <si>
    <t>ADEMAT</t>
  </si>
  <si>
    <t xml:space="preserve">GARAGE NINO PORT </t>
  </si>
  <si>
    <t xml:space="preserve">AYATI MANUTENTION SERVICE </t>
  </si>
  <si>
    <t>AVIS DE RECHERCHE DE LATAXE  SUR LA PUBLICITE 2025</t>
  </si>
  <si>
    <t>CREDIT D ENELEVEMENT</t>
  </si>
  <si>
    <t>N°tiers</t>
  </si>
  <si>
    <t>Contact</t>
  </si>
  <si>
    <t>N°Tiers</t>
  </si>
  <si>
    <t>NBCAR</t>
  </si>
  <si>
    <t>Somme de Net à Payer</t>
  </si>
  <si>
    <t>Somme de Montant Payé</t>
  </si>
  <si>
    <t>Nombre de N°Facture</t>
  </si>
  <si>
    <t>FRS METIERS</t>
  </si>
  <si>
    <t>FRS HORS METIERS</t>
  </si>
  <si>
    <t>FRS DOUANES</t>
  </si>
  <si>
    <r>
      <t>N°Tiers</t>
    </r>
    <r>
      <rPr>
        <b/>
        <sz val="11"/>
        <color rgb="FFFF0000"/>
        <rFont val="Segoe UI"/>
        <family val="2"/>
      </rPr>
      <t>*</t>
    </r>
  </si>
  <si>
    <r>
      <t>Échéance</t>
    </r>
    <r>
      <rPr>
        <b/>
        <sz val="11"/>
        <color rgb="FFFF0000"/>
        <rFont val="Segoe UI"/>
        <family val="2"/>
      </rPr>
      <t>*</t>
    </r>
  </si>
  <si>
    <r>
      <t>Net à payer</t>
    </r>
    <r>
      <rPr>
        <b/>
        <sz val="11"/>
        <color rgb="FFFF0000"/>
        <rFont val="Segoe UI"/>
        <family val="2"/>
      </rPr>
      <t>*</t>
    </r>
  </si>
  <si>
    <r>
      <t>N°Facture</t>
    </r>
    <r>
      <rPr>
        <b/>
        <sz val="11"/>
        <color rgb="FFFF0000"/>
        <rFont val="Segoe UI"/>
        <family val="2"/>
      </rPr>
      <t>*</t>
    </r>
  </si>
  <si>
    <t>Somme de Solde</t>
  </si>
  <si>
    <t>Étiquettes de lignes</t>
  </si>
  <si>
    <t>Echue [61;90]</t>
  </si>
  <si>
    <t>Echue &gt; 90</t>
  </si>
  <si>
    <t>(Plusieurs éléments)</t>
  </si>
  <si>
    <t>Somme de Retard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</si>
  <si>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</si>
  <si>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F-00275</t>
  </si>
  <si>
    <t>F0001</t>
  </si>
  <si>
    <t>1032/DC/BDS-2025</t>
  </si>
  <si>
    <t>202501A000005436</t>
  </si>
  <si>
    <t>202504A00006546</t>
  </si>
  <si>
    <t>TAB200059096</t>
  </si>
  <si>
    <t>TAB200059098</t>
  </si>
  <si>
    <t>AB2504403</t>
  </si>
  <si>
    <t>AB2504405</t>
  </si>
  <si>
    <t>TAB200059099</t>
  </si>
  <si>
    <t>AB2504406</t>
  </si>
  <si>
    <t>AB2504415</t>
  </si>
  <si>
    <t>N°TIERS</t>
  </si>
  <si>
    <t>VRT 1137</t>
  </si>
  <si>
    <t>Chèque</t>
  </si>
  <si>
    <t>Virement Bancaire</t>
  </si>
  <si>
    <t>Echue [31;60]</t>
  </si>
  <si>
    <t>Non Echue</t>
  </si>
  <si>
    <t>Mois</t>
  </si>
  <si>
    <t>Années</t>
  </si>
  <si>
    <t>Ref</t>
  </si>
  <si>
    <t>2025</t>
  </si>
  <si>
    <t>2024</t>
  </si>
  <si>
    <t>Colonne1</t>
  </si>
  <si>
    <t xml:space="preserve">Date : </t>
  </si>
  <si>
    <t>Total dette</t>
  </si>
  <si>
    <t>Cumul Dettes</t>
  </si>
  <si>
    <t>Nbre de jrs</t>
  </si>
  <si>
    <t>Cumul Règl.</t>
  </si>
  <si>
    <t>Total Règlts.</t>
  </si>
  <si>
    <t>Dette</t>
  </si>
  <si>
    <t>DPO</t>
  </si>
  <si>
    <t>nbre de jours des 6 derniers mois</t>
  </si>
  <si>
    <t>DPO des 6 derniers mois</t>
  </si>
  <si>
    <t>date</t>
  </si>
  <si>
    <t>Colonne2</t>
  </si>
  <si>
    <t>Colonne3</t>
  </si>
  <si>
    <t>Colonne4</t>
  </si>
  <si>
    <t>DPO2</t>
  </si>
  <si>
    <t>Montant payé</t>
  </si>
  <si>
    <t>Prévision</t>
  </si>
  <si>
    <t>TEST180625</t>
  </si>
  <si>
    <r>
      <t xml:space="preserve">Date de Saisie </t>
    </r>
    <r>
      <rPr>
        <b/>
        <sz val="11"/>
        <color rgb="FFFF0000"/>
        <rFont val="Segoe UI"/>
        <family val="2"/>
      </rPr>
      <t>*</t>
    </r>
  </si>
  <si>
    <t>N°Facture *</t>
  </si>
  <si>
    <t>Montant Payé *</t>
  </si>
  <si>
    <t>Solde *</t>
  </si>
  <si>
    <t>Reference *</t>
  </si>
  <si>
    <t>Type Rglt*</t>
  </si>
  <si>
    <t>04537652</t>
  </si>
  <si>
    <t>N°Tiers 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</si>
</sst>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1" formatCode="_-* #,##0_-;\-* #,##0_-;_-* &quot;-&quot;_-;_-@_-"/>
    <numFmt numFmtId="164" formatCode="#,##0\ [$FCFA-2C0C]"/>
  </numFmts>
  <fonts count="1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sz val="12"/>
      <color theme="1"/>
      <name val="Magneto"/>
      <family val="5"/>
    </font>
    <font>
      <sz val="12"/>
      <name val="Segoe UI Black"/>
      <family val="2"/>
    </font>
    <font>
      <sz val="12"/>
      <color theme="4" tint="-0.249977111117893"/>
      <name val="Segoe UI Black"/>
      <family val="2"/>
    </font>
    <font>
      <b/>
      <sz val="11"/>
      <color theme="1"/>
      <name val="Segoe UI"/>
      <family val="2"/>
    </font>
    <font>
      <b/>
      <sz val="11"/>
      <name val="Segoe UI"/>
      <family val="2"/>
    </font>
    <font>
      <b/>
      <sz val="10"/>
      <color theme="1"/>
      <name val="Segoe UI"/>
      <family val="2"/>
    </font>
    <font>
      <sz val="11"/>
      <color theme="1"/>
      <name val="Calibri"/>
      <family val="2"/>
      <scheme val="minor"/>
    </font>
    <font>
      <b/>
      <sz val="11"/>
      <color rgb="FFFF0000"/>
      <name val="Segoe UI"/>
      <family val="2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2"/>
      <color theme="1"/>
      <name val="Segoe UI"/>
      <family val="2"/>
    </font>
    <font>
      <sz val="10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Calibri"/>
      <family val="2"/>
      <scheme val="minor"/>
    </font>
    <font>
      <b/>
      <sz val="12"/>
      <color theme="4" tint="-0.249977111117893"/>
      <name val="Segoe UI Black"/>
      <family val="2"/>
    </font>
    <font>
      <b/>
      <sz val="12"/>
      <color theme="1"/>
      <name val="Magneto"/>
      <family val="5"/>
    </font>
  </fonts>
  <fills count="11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3">
    <xf numFmtId="0" fontId="0" fillId="0" borderId="0"/>
    <xf numFmtId="9" fontId="9" fillId="0" borderId="0" applyFont="0" applyFill="0" applyBorder="0" applyAlignment="0" applyProtection="0"/>
    <xf numFmtId="41" fontId="9" fillId="0" borderId="0" applyFont="0" applyFill="0" applyBorder="0" applyAlignment="0" applyProtection="0"/>
  </cellStyleXfs>
  <cellXfs count="95">
    <xf numFmtId="0" fontId="0" fillId="0" borderId="0" xfId="0"/>
    <xf numFmtId="0" fontId="0" fillId="2" borderId="0" xfId="0" applyFill="1"/>
    <xf numFmtId="0" fontId="0" fillId="0" borderId="0" xfId="0" applyFill="1"/>
    <xf numFmtId="0" fontId="0" fillId="0" borderId="0" xfId="0" applyFill="1" applyAlignment="1">
      <alignment horizontal="left"/>
    </xf>
    <xf numFmtId="0" fontId="1" fillId="0" borderId="0" xfId="0" applyFont="1" applyFill="1" applyAlignment="1">
      <alignment horizontal="left"/>
    </xf>
    <xf numFmtId="0" fontId="1" fillId="0" borderId="0" xfId="0" applyFont="1" applyFill="1" applyAlignment="1">
      <alignment horizontal="right"/>
    </xf>
    <xf numFmtId="0" fontId="7" fillId="3" borderId="0" xfId="0" applyFont="1" applyFill="1" applyAlignment="1">
      <alignment horizontal="left"/>
    </xf>
    <xf numFmtId="0" fontId="2" fillId="0" borderId="0" xfId="0" applyFont="1" applyFill="1"/>
    <xf numFmtId="0" fontId="6" fillId="0" borderId="0" xfId="0" applyFont="1" applyFill="1" applyAlignment="1">
      <alignment horizontal="left" vertical="center"/>
    </xf>
    <xf numFmtId="0" fontId="7" fillId="3" borderId="0" xfId="0" applyFont="1" applyFill="1" applyAlignment="1">
      <alignment horizontal="left" vertical="center"/>
    </xf>
    <xf numFmtId="0" fontId="6" fillId="0" borderId="0" xfId="0" applyFont="1" applyFill="1" applyAlignment="1">
      <alignment horizontal="right" vertical="center"/>
    </xf>
    <xf numFmtId="0" fontId="7" fillId="3" borderId="0" xfId="0" applyFont="1" applyFill="1" applyAlignment="1">
      <alignment horizontal="right" vertical="center"/>
    </xf>
    <xf numFmtId="0" fontId="5" fillId="0" borderId="0" xfId="0" applyFont="1" applyFill="1" applyAlignment="1"/>
    <xf numFmtId="0" fontId="3" fillId="0" borderId="0" xfId="0" applyFont="1" applyFill="1" applyAlignment="1"/>
    <xf numFmtId="0" fontId="6" fillId="0" borderId="0" xfId="0" applyFont="1" applyFill="1" applyAlignment="1"/>
    <xf numFmtId="0" fontId="2" fillId="0" borderId="0" xfId="0" applyFont="1" applyFill="1" applyAlignment="1"/>
    <xf numFmtId="0" fontId="0" fillId="0" borderId="0" xfId="0" applyFont="1" applyFill="1" applyAlignment="1">
      <alignment horizontal="left"/>
    </xf>
    <xf numFmtId="0" fontId="0" fillId="0" borderId="0" xfId="0" applyFont="1" applyFill="1"/>
    <xf numFmtId="0" fontId="7" fillId="3" borderId="0" xfId="0" applyFont="1" applyFill="1" applyAlignment="1">
      <alignment horizontal="center" vertical="center"/>
    </xf>
    <xf numFmtId="14" fontId="7" fillId="3" borderId="0" xfId="0" applyNumberFormat="1" applyFont="1" applyFill="1" applyAlignment="1">
      <alignment horizontal="right" vertical="center"/>
    </xf>
    <xf numFmtId="164" fontId="7" fillId="3" borderId="0" xfId="0" applyNumberFormat="1" applyFont="1" applyFill="1" applyAlignment="1">
      <alignment horizontal="left" vertical="center"/>
    </xf>
    <xf numFmtId="0" fontId="1" fillId="0" borderId="0" xfId="0" applyFont="1" applyFill="1" applyAlignment="1">
      <alignment horizontal="center"/>
    </xf>
    <xf numFmtId="0" fontId="6" fillId="0" borderId="0" xfId="0" applyFont="1" applyFill="1" applyAlignment="1">
      <alignment horizontal="center" vertical="center"/>
    </xf>
    <xf numFmtId="0" fontId="6" fillId="0" borderId="0" xfId="0" applyNumberFormat="1" applyFont="1" applyFill="1" applyAlignment="1">
      <alignment horizontal="center" vertical="center"/>
    </xf>
    <xf numFmtId="14" fontId="6" fillId="0" borderId="0" xfId="0" applyNumberFormat="1" applyFont="1" applyFill="1" applyAlignment="1">
      <alignment horizontal="center" vertical="center"/>
    </xf>
    <xf numFmtId="164" fontId="6" fillId="0" borderId="0" xfId="0" applyNumberFormat="1" applyFont="1" applyFill="1" applyAlignment="1">
      <alignment horizontal="center" vertical="center"/>
    </xf>
    <xf numFmtId="0" fontId="0" fillId="0" borderId="0" xfId="0" applyNumberFormat="1"/>
    <xf numFmtId="164" fontId="0" fillId="0" borderId="0" xfId="0" applyNumberFormat="1"/>
    <xf numFmtId="1" fontId="6" fillId="0" borderId="0" xfId="0" applyNumberFormat="1" applyFont="1" applyFill="1" applyAlignment="1">
      <alignment horizontal="center" vertical="center"/>
    </xf>
    <xf numFmtId="14" fontId="8" fillId="0" borderId="0" xfId="0" applyNumberFormat="1" applyFont="1" applyFill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1" fontId="0" fillId="0" borderId="0" xfId="0" applyNumberFormat="1"/>
    <xf numFmtId="9" fontId="0" fillId="0" borderId="0" xfId="1" applyFont="1"/>
    <xf numFmtId="14" fontId="0" fillId="0" borderId="0" xfId="0" applyNumberFormat="1" applyFill="1" applyAlignment="1">
      <alignment horizontal="center"/>
    </xf>
    <xf numFmtId="0" fontId="0" fillId="4" borderId="0" xfId="0" applyFill="1" applyAlignment="1">
      <alignment horizontal="left"/>
    </xf>
    <xf numFmtId="0" fontId="0" fillId="4" borderId="0" xfId="0" applyFill="1"/>
    <xf numFmtId="0" fontId="6" fillId="4" borderId="0" xfId="0" applyFont="1" applyFill="1" applyAlignment="1">
      <alignment horizontal="right" vertical="center"/>
    </xf>
    <xf numFmtId="0" fontId="1" fillId="4" borderId="0" xfId="0" applyFont="1" applyFill="1" applyAlignment="1">
      <alignment horizontal="left"/>
    </xf>
    <xf numFmtId="0" fontId="2" fillId="4" borderId="0" xfId="0" applyFont="1" applyFill="1"/>
    <xf numFmtId="0" fontId="11" fillId="4" borderId="0" xfId="0" applyFont="1" applyFill="1"/>
    <xf numFmtId="0" fontId="13" fillId="0" borderId="0" xfId="0" applyFont="1" applyFill="1" applyAlignment="1">
      <alignment horizontal="right"/>
    </xf>
    <xf numFmtId="14" fontId="6" fillId="5" borderId="0" xfId="0" applyNumberFormat="1" applyFont="1" applyFill="1" applyAlignment="1">
      <alignment horizontal="center" vertical="center"/>
    </xf>
    <xf numFmtId="14" fontId="6" fillId="7" borderId="0" xfId="0" applyNumberFormat="1" applyFont="1" applyFill="1" applyAlignment="1">
      <alignment horizontal="center" vertical="center"/>
    </xf>
    <xf numFmtId="0" fontId="0" fillId="0" borderId="1" xfId="0" applyBorder="1"/>
    <xf numFmtId="164" fontId="14" fillId="7" borderId="1" xfId="0" applyNumberFormat="1" applyFont="1" applyFill="1" applyBorder="1" applyAlignment="1">
      <alignment horizontal="center"/>
    </xf>
    <xf numFmtId="164" fontId="14" fillId="9" borderId="1" xfId="0" applyNumberFormat="1" applyFont="1" applyFill="1" applyBorder="1" applyAlignment="1">
      <alignment horizontal="center"/>
    </xf>
    <xf numFmtId="164" fontId="0" fillId="8" borderId="1" xfId="0" applyNumberFormat="1" applyFill="1" applyBorder="1"/>
    <xf numFmtId="1" fontId="0" fillId="0" borderId="1" xfId="0" applyNumberFormat="1" applyBorder="1" applyAlignment="1">
      <alignment horizontal="center"/>
    </xf>
    <xf numFmtId="0" fontId="0" fillId="0" borderId="0" xfId="0" applyAlignment="1"/>
    <xf numFmtId="17" fontId="1" fillId="0" borderId="2" xfId="0" applyNumberFormat="1" applyFont="1" applyBorder="1"/>
    <xf numFmtId="0" fontId="0" fillId="9" borderId="3" xfId="0" applyFill="1" applyBorder="1" applyAlignment="1">
      <alignment horizontal="center"/>
    </xf>
    <xf numFmtId="0" fontId="1" fillId="0" borderId="4" xfId="0" applyFont="1" applyBorder="1"/>
    <xf numFmtId="0" fontId="1" fillId="7" borderId="5" xfId="0" applyFont="1" applyFill="1" applyBorder="1"/>
    <xf numFmtId="0" fontId="1" fillId="9" borderId="5" xfId="0" applyFont="1" applyFill="1" applyBorder="1"/>
    <xf numFmtId="0" fontId="1" fillId="8" borderId="5" xfId="0" applyFont="1" applyFill="1" applyBorder="1"/>
    <xf numFmtId="0" fontId="1" fillId="0" borderId="5" xfId="0" applyFont="1" applyBorder="1"/>
    <xf numFmtId="0" fontId="1" fillId="9" borderId="6" xfId="0" applyFont="1" applyFill="1" applyBorder="1"/>
    <xf numFmtId="17" fontId="1" fillId="0" borderId="7" xfId="0" applyNumberFormat="1" applyFont="1" applyBorder="1"/>
    <xf numFmtId="164" fontId="14" fillId="7" borderId="8" xfId="0" applyNumberFormat="1" applyFont="1" applyFill="1" applyBorder="1" applyAlignment="1">
      <alignment horizontal="center"/>
    </xf>
    <xf numFmtId="164" fontId="14" fillId="9" borderId="8" xfId="0" applyNumberFormat="1" applyFont="1" applyFill="1" applyBorder="1" applyAlignment="1">
      <alignment horizontal="center"/>
    </xf>
    <xf numFmtId="164" fontId="0" fillId="8" borderId="8" xfId="0" applyNumberFormat="1" applyFill="1" applyBorder="1"/>
    <xf numFmtId="1" fontId="0" fillId="0" borderId="8" xfId="0" applyNumberFormat="1" applyBorder="1" applyAlignment="1">
      <alignment horizontal="center"/>
    </xf>
    <xf numFmtId="0" fontId="0" fillId="9" borderId="9" xfId="0" applyFill="1" applyBorder="1" applyAlignment="1">
      <alignment horizontal="center"/>
    </xf>
    <xf numFmtId="0" fontId="0" fillId="10" borderId="1" xfId="0" applyFill="1" applyBorder="1" applyAlignment="1">
      <alignment horizontal="center"/>
    </xf>
    <xf numFmtId="0" fontId="0" fillId="10" borderId="2" xfId="0" applyFill="1" applyBorder="1" applyAlignment="1">
      <alignment horizontal="center"/>
    </xf>
    <xf numFmtId="1" fontId="0" fillId="10" borderId="3" xfId="0" applyNumberFormat="1" applyFill="1" applyBorder="1" applyAlignment="1">
      <alignment horizontal="center"/>
    </xf>
    <xf numFmtId="0" fontId="0" fillId="10" borderId="4" xfId="0" applyFill="1" applyBorder="1" applyAlignment="1">
      <alignment horizontal="center"/>
    </xf>
    <xf numFmtId="0" fontId="0" fillId="10" borderId="5" xfId="0" applyFill="1" applyBorder="1" applyAlignment="1">
      <alignment horizontal="center"/>
    </xf>
    <xf numFmtId="1" fontId="0" fillId="10" borderId="6" xfId="0" applyNumberFormat="1" applyFill="1" applyBorder="1" applyAlignment="1">
      <alignment horizontal="center"/>
    </xf>
    <xf numFmtId="0" fontId="0" fillId="6" borderId="7" xfId="0" applyFill="1" applyBorder="1" applyAlignment="1">
      <alignment horizontal="center"/>
    </xf>
    <xf numFmtId="0" fontId="0" fillId="6" borderId="8" xfId="0" applyFill="1" applyBorder="1" applyAlignment="1">
      <alignment horizontal="center"/>
    </xf>
    <xf numFmtId="41" fontId="0" fillId="6" borderId="9" xfId="2" applyFont="1" applyFill="1" applyBorder="1" applyAlignment="1">
      <alignment horizontal="center"/>
    </xf>
    <xf numFmtId="41" fontId="0" fillId="0" borderId="0" xfId="0" applyNumberFormat="1" applyAlignment="1">
      <alignment horizontal="center" vertical="center"/>
    </xf>
    <xf numFmtId="17" fontId="15" fillId="0" borderId="1" xfId="0" applyNumberFormat="1" applyFont="1" applyFill="1" applyBorder="1"/>
    <xf numFmtId="164" fontId="16" fillId="0" borderId="1" xfId="0" applyNumberFormat="1" applyFont="1" applyFill="1" applyBorder="1" applyAlignment="1">
      <alignment horizontal="center"/>
    </xf>
    <xf numFmtId="0" fontId="12" fillId="0" borderId="1" xfId="0" applyFont="1" applyFill="1" applyBorder="1" applyAlignment="1">
      <alignment horizontal="center"/>
    </xf>
    <xf numFmtId="0" fontId="15" fillId="0" borderId="1" xfId="0" applyFont="1" applyFill="1" applyBorder="1" applyAlignment="1">
      <alignment horizontal="center" vertical="center"/>
    </xf>
    <xf numFmtId="0" fontId="6" fillId="4" borderId="0" xfId="0" applyFont="1" applyFill="1" applyAlignment="1"/>
    <xf numFmtId="0" fontId="5" fillId="4" borderId="0" xfId="0" applyFont="1" applyFill="1" applyAlignment="1"/>
    <xf numFmtId="0" fontId="3" fillId="4" borderId="0" xfId="0" applyFont="1" applyFill="1" applyAlignment="1"/>
    <xf numFmtId="49" fontId="0" fillId="0" borderId="0" xfId="0" applyNumberFormat="1" applyFill="1"/>
    <xf numFmtId="49" fontId="7" fillId="3" borderId="0" xfId="0" applyNumberFormat="1" applyFont="1" applyFill="1" applyAlignment="1">
      <alignment horizontal="center"/>
    </xf>
    <xf numFmtId="164" fontId="7" fillId="3" borderId="0" xfId="0" applyNumberFormat="1" applyFont="1" applyFill="1" applyAlignment="1">
      <alignment horizontal="center" vertical="center"/>
    </xf>
    <xf numFmtId="49" fontId="7" fillId="3" borderId="0" xfId="0" applyNumberFormat="1" applyFont="1" applyFill="1" applyAlignment="1">
      <alignment horizontal="right" vertical="center"/>
    </xf>
    <xf numFmtId="164" fontId="0" fillId="0" borderId="0" xfId="0" applyNumberFormat="1" applyFill="1"/>
    <xf numFmtId="0" fontId="5" fillId="4" borderId="0" xfId="0" applyFont="1" applyFill="1" applyAlignment="1">
      <alignment horizontal="left" vertical="center"/>
    </xf>
    <xf numFmtId="0" fontId="3" fillId="4" borderId="0" xfId="0" applyFont="1" applyFill="1" applyAlignment="1">
      <alignment horizontal="left" vertical="center"/>
    </xf>
    <xf numFmtId="0" fontId="5" fillId="0" borderId="0" xfId="0" applyFont="1" applyFill="1" applyAlignment="1">
      <alignment horizontal="left"/>
    </xf>
    <xf numFmtId="0" fontId="3" fillId="0" borderId="0" xfId="0" applyFont="1" applyFill="1" applyAlignment="1">
      <alignment horizontal="left"/>
    </xf>
    <xf numFmtId="0" fontId="6" fillId="0" borderId="0" xfId="0" applyFont="1" applyFill="1" applyAlignment="1">
      <alignment horizontal="left"/>
    </xf>
    <xf numFmtId="0" fontId="5" fillId="0" borderId="0" xfId="0" applyFont="1" applyFill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17" fillId="0" borderId="0" xfId="0" applyFont="1" applyFill="1" applyAlignment="1">
      <alignment horizontal="left"/>
    </xf>
    <xf numFmtId="0" fontId="18" fillId="0" borderId="0" xfId="0" applyFont="1" applyFill="1" applyAlignment="1">
      <alignment horizontal="left"/>
    </xf>
  </cellXfs>
  <cellStyles count="3">
    <cellStyle name="Milliers [0]" xfId="2" builtinId="6"/>
    <cellStyle name="Normal" xfId="0" builtinId="0"/>
    <cellStyle name="Pourcentage" xfId="1" builtinId="5"/>
  </cellStyles>
  <dxfs count="65"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6" tint="0.399975585192419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\ [$FCFA-2C0C]"/>
      <fill>
        <patternFill patternType="solid">
          <fgColor indexed="64"/>
          <bgColor theme="5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4" formatCode="#,##0\ [$FCFA-2C0C]"/>
      <fill>
        <patternFill patternType="solid">
          <fgColor indexed="64"/>
          <bgColor theme="6" tint="0.399975585192419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4" formatCode="#,##0\ [$FCFA-2C0C]"/>
      <fill>
        <patternFill patternType="solid">
          <fgColor indexed="64"/>
          <bgColor theme="6" tint="0.399975585192419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4" formatCode="#,##0\ [$FCFA-2C0C]"/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4" formatCode="#,##0\ [$FCFA-2C0C]"/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2" formatCode="mmm\-yy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6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#,##0\ [$FCFA-2C0C]"/>
    </dxf>
    <dxf>
      <numFmt numFmtId="0" formatCode="General"/>
    </dxf>
    <dxf>
      <numFmt numFmtId="164" formatCode="#,##0\ [$FCFA-2C0C]"/>
    </dxf>
    <dxf>
      <numFmt numFmtId="164" formatCode="#,##0\ [$FCFA-2C0C]"/>
    </dxf>
    <dxf>
      <numFmt numFmtId="164" formatCode="#,##0\ [$FCFA-2C0C]"/>
    </dxf>
    <dxf>
      <numFmt numFmtId="1" formatCode="0"/>
    </dxf>
    <dxf>
      <numFmt numFmtId="164" formatCode="#,##0\ [$FCFA-2C0C]"/>
    </dxf>
    <dxf>
      <numFmt numFmtId="1" formatCode="0"/>
    </dxf>
    <dxf>
      <numFmt numFmtId="164" formatCode="#,##0\ [$FCFA-2C0C]"/>
    </dxf>
    <dxf>
      <numFmt numFmtId="164" formatCode="#,##0\ [$FCFA-2C0C]"/>
    </dxf>
    <dxf>
      <numFmt numFmtId="0" formatCode="General"/>
      <fill>
        <patternFill patternType="none">
          <fgColor indexed="64"/>
          <bgColor indexed="65"/>
        </patternFill>
      </fill>
    </dxf>
    <dxf>
      <font>
        <b val="0"/>
      </font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numFmt numFmtId="164" formatCode="#,##0\ [$FCFA-2C0C]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19" formatCode="dd/mm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rgb="FF000000"/>
          <bgColor rgb="FFFFFFFF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Segoe UI"/>
        <scheme val="none"/>
      </font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theme="4" tint="-0.249977111117893"/>
        </patternFill>
      </fill>
    </dxf>
    <dxf>
      <fill>
        <patternFill patternType="solid">
          <fgColor indexed="64"/>
          <bgColor theme="4" tint="-0.249977111117893"/>
        </patternFill>
      </fill>
    </dxf>
    <dxf>
      <fill>
        <patternFill patternType="solid">
          <fgColor indexed="64"/>
          <bgColor theme="4" tint="-0.249977111117893"/>
        </patternFill>
      </fill>
    </dxf>
    <dxf>
      <fill>
        <patternFill patternType="solid">
          <fgColor indexed="64"/>
          <bgColor theme="4" tint="-0.249977111117893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1" formatCode="0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164" formatCode="#,##0\ [$FCFA-2C0C]"/>
      <fill>
        <patternFill patternType="none">
          <fgColor indexed="64"/>
          <bgColor indexed="65"/>
        </patternFill>
      </fill>
    </dxf>
    <dxf>
      <numFmt numFmtId="164" formatCode="#,##0\ [$FCFA-2C0C]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/>
        <strike val="0"/>
        <outline val="0"/>
        <shadow val="0"/>
        <u val="none"/>
        <vertAlign val="baseline"/>
        <sz val="10"/>
        <color theme="1"/>
        <name val="Segoe UI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Segoe UI"/>
        <scheme val="none"/>
      </font>
      <fill>
        <patternFill patternType="none">
          <fgColor indexed="64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2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07/relationships/slicerCache" Target="slicerCaches/slicerCache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3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[Test_Gestionnaire_FRS_Apply.xlsm]Calculs!Tableau croisé dynamique8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fld id="{A766EBAE-3A1B-469C-9C05-EBC0B0B0DD0D}" type="VALUE">
                  <a:rPr lang="en-US" sz="800" b="1">
                    <a:latin typeface="Segoe UI" panose="020B0502040204020203" pitchFamily="34" charset="0"/>
                    <a:cs typeface="Segoe UI" panose="020B0502040204020203" pitchFamily="34" charset="0"/>
                  </a:rPr>
                  <a:pPr>
                    <a:defRPr sz="8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Segoe UI" panose="020B0502040204020203" pitchFamily="34" charset="0"/>
                      <a:ea typeface="+mn-ea"/>
                      <a:cs typeface="Segoe UI" panose="020B0502040204020203" pitchFamily="34" charset="0"/>
                    </a:defRPr>
                  </a:pPr>
                  <a:t>[VALEUR]</a:t>
                </a:fld>
                <a:endParaRPr lang="en-US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8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1.5092527204605907E-2"/>
          <c:y val="0.10620289345049032"/>
          <c:w val="0.93241504795963326"/>
          <c:h val="0.7679404128537986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Calculs!$B$28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Calculs!$A$29:$A$32</c:f>
              <c:strCache>
                <c:ptCount val="4"/>
                <c:pt idx="0">
                  <c:v>Echue [61;90]</c:v>
                </c:pt>
                <c:pt idx="1">
                  <c:v>Echue &gt; 90</c:v>
                </c:pt>
                <c:pt idx="2">
                  <c:v>Echue [31;60]</c:v>
                </c:pt>
                <c:pt idx="3">
                  <c:v>Non Echue</c:v>
                </c:pt>
              </c:strCache>
            </c:strRef>
          </c:cat>
          <c:val>
            <c:numRef>
              <c:f>Calculs!$B$29:$B$32</c:f>
              <c:numCache>
                <c:formatCode>#\ ##0\ [$FCFA-2C0C]</c:formatCode>
                <c:ptCount val="4"/>
                <c:pt idx="0">
                  <c:v>9330218</c:v>
                </c:pt>
                <c:pt idx="1">
                  <c:v>9767000</c:v>
                </c:pt>
                <c:pt idx="2">
                  <c:v>9762400</c:v>
                </c:pt>
                <c:pt idx="3">
                  <c:v>102101800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3B-4E43-891B-5942EBCB482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42847743"/>
        <c:axId val="242839423"/>
      </c:barChart>
      <c:catAx>
        <c:axId val="242847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242839423"/>
        <c:crosses val="autoZero"/>
        <c:auto val="1"/>
        <c:lblAlgn val="ctr"/>
        <c:lblOffset val="100"/>
        <c:noMultiLvlLbl val="0"/>
      </c:catAx>
      <c:valAx>
        <c:axId val="242839423"/>
        <c:scaling>
          <c:orientation val="minMax"/>
        </c:scaling>
        <c:delete val="1"/>
        <c:axPos val="l"/>
        <c:numFmt formatCode="#\ ##0\ [$FCFA-2C0C]" sourceLinked="1"/>
        <c:majorTickMark val="none"/>
        <c:minorTickMark val="none"/>
        <c:tickLblPos val="nextTo"/>
        <c:crossAx val="2428477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[Test_Gestionnaire_FRS_Apply.xlsm]Calculs!Tableau croisé dynamique10</c:name>
    <c:fmtId val="8"/>
  </c:pivotSource>
  <c:chart>
    <c:autoTitleDeleted val="1"/>
    <c:pivotFmts>
      <c:pivotFmt>
        <c:idx val="0"/>
      </c:pivotFmt>
      <c:pivotFmt>
        <c:idx val="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33830000973702895"/>
          <c:y val="0.18571428571428569"/>
          <c:w val="0.62852284520736312"/>
          <c:h val="0.7619047619047618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Calculs!$B$71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Calculs!$A$72:$A$75</c:f>
              <c:strCache>
                <c:ptCount val="4"/>
                <c:pt idx="0">
                  <c:v>MAERSK COTE D IVOIRE</c:v>
                </c:pt>
                <c:pt idx="1">
                  <c:v>EBUR FIDUCIAIRE</c:v>
                </c:pt>
                <c:pt idx="2">
                  <c:v>CCIS</c:v>
                </c:pt>
                <c:pt idx="3">
                  <c:v>AFRICA GLOBAL LOGISTICS</c:v>
                </c:pt>
              </c:strCache>
            </c:strRef>
          </c:cat>
          <c:val>
            <c:numRef>
              <c:f>Calculs!$B$72:$B$75</c:f>
              <c:numCache>
                <c:formatCode>#\ ##0\ [$FCFA-2C0C]</c:formatCode>
                <c:ptCount val="4"/>
                <c:pt idx="0">
                  <c:v>3242200</c:v>
                </c:pt>
                <c:pt idx="1">
                  <c:v>6250000</c:v>
                </c:pt>
                <c:pt idx="2">
                  <c:v>9554720</c:v>
                </c:pt>
                <c:pt idx="3">
                  <c:v>11014498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3A9-4B03-83C2-A9E30496DF0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240668063"/>
        <c:axId val="240649343"/>
      </c:barChart>
      <c:catAx>
        <c:axId val="24066806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649343"/>
        <c:crosses val="autoZero"/>
        <c:auto val="1"/>
        <c:lblAlgn val="ctr"/>
        <c:lblOffset val="100"/>
        <c:noMultiLvlLbl val="0"/>
      </c:catAx>
      <c:valAx>
        <c:axId val="240649343"/>
        <c:scaling>
          <c:orientation val="minMax"/>
        </c:scaling>
        <c:delete val="1"/>
        <c:axPos val="b"/>
        <c:numFmt formatCode="#\ ##0\ [$FCFA-2C0C]" sourceLinked="1"/>
        <c:majorTickMark val="none"/>
        <c:minorTickMark val="none"/>
        <c:tickLblPos val="nextTo"/>
        <c:crossAx val="2406680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"/>
          <c:w val="0.93888888888888888"/>
          <c:h val="0.8416746864975212"/>
        </c:manualLayout>
      </c:layout>
      <c:areaChart>
        <c:grouping val="standard"/>
        <c:varyColors val="0"/>
        <c:ser>
          <c:idx val="1"/>
          <c:order val="1"/>
          <c:tx>
            <c:strRef>
              <c:f>Calculs!$P$9</c:f>
              <c:strCache>
                <c:ptCount val="1"/>
                <c:pt idx="0">
                  <c:v>DPO2</c:v>
                </c:pt>
              </c:strCache>
            </c:strRef>
          </c:tx>
          <c:spPr>
            <a:gradFill>
              <a:gsLst>
                <a:gs pos="60000">
                  <a:schemeClr val="accent1">
                    <a:lumMod val="5000"/>
                    <a:lumOff val="95000"/>
                  </a:schemeClr>
                </a:gs>
                <a:gs pos="7000">
                  <a:schemeClr val="accent1">
                    <a:lumMod val="30000"/>
                    <a:lumOff val="70000"/>
                  </a:schemeClr>
                </a:gs>
              </a:gsLst>
              <a:lin ang="5400000" scaled="1"/>
            </a:gradFill>
            <a:ln>
              <a:noFill/>
            </a:ln>
            <a:effectLst/>
          </c:spPr>
          <c:cat>
            <c:numRef>
              <c:f>Calculs!$H$10:$H$15</c:f>
              <c:numCache>
                <c:formatCode>mmm\-yy</c:formatCode>
                <c:ptCount val="6"/>
                <c:pt idx="0">
                  <c:v>45627</c:v>
                </c:pt>
                <c:pt idx="1">
                  <c:v>45658</c:v>
                </c:pt>
                <c:pt idx="2">
                  <c:v>45689</c:v>
                </c:pt>
                <c:pt idx="3">
                  <c:v>45717</c:v>
                </c:pt>
                <c:pt idx="4">
                  <c:v>45748</c:v>
                </c:pt>
                <c:pt idx="5">
                  <c:v>45778</c:v>
                </c:pt>
              </c:numCache>
            </c:numRef>
          </c:cat>
          <c:val>
            <c:numRef>
              <c:f>Calculs!$P$10:$P$15</c:f>
              <c:numCache>
                <c:formatCode>0</c:formatCode>
                <c:ptCount val="6"/>
                <c:pt idx="0">
                  <c:v>0</c:v>
                </c:pt>
                <c:pt idx="1">
                  <c:v>13.461905246634128</c:v>
                </c:pt>
                <c:pt idx="2">
                  <c:v>24.726113763225463</c:v>
                </c:pt>
                <c:pt idx="3">
                  <c:v>66.9534695029717</c:v>
                </c:pt>
                <c:pt idx="4">
                  <c:v>78.009839818705132</c:v>
                </c:pt>
                <c:pt idx="5" formatCode="General">
                  <c:v>537.27082923286002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C0-473C-A277-99D5A2C7FC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3571999"/>
        <c:axId val="2113568255"/>
      </c:areaChart>
      <c:lineChart>
        <c:grouping val="standard"/>
        <c:varyColors val="0"/>
        <c:ser>
          <c:idx val="0"/>
          <c:order val="0"/>
          <c:tx>
            <c:strRef>
              <c:f>Calculs!$N$9</c:f>
              <c:strCache>
                <c:ptCount val="1"/>
                <c:pt idx="0">
                  <c:v>DPO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Calculs!$H$10:$H$15</c:f>
              <c:numCache>
                <c:formatCode>mmm\-yy</c:formatCode>
                <c:ptCount val="6"/>
                <c:pt idx="0">
                  <c:v>45627</c:v>
                </c:pt>
                <c:pt idx="1">
                  <c:v>45658</c:v>
                </c:pt>
                <c:pt idx="2">
                  <c:v>45689</c:v>
                </c:pt>
                <c:pt idx="3">
                  <c:v>45717</c:v>
                </c:pt>
                <c:pt idx="4">
                  <c:v>45748</c:v>
                </c:pt>
                <c:pt idx="5">
                  <c:v>45778</c:v>
                </c:pt>
              </c:numCache>
            </c:numRef>
          </c:cat>
          <c:val>
            <c:numRef>
              <c:f>Calculs!$N$10:$N$15</c:f>
              <c:numCache>
                <c:formatCode>0</c:formatCode>
                <c:ptCount val="6"/>
                <c:pt idx="0">
                  <c:v>0</c:v>
                </c:pt>
                <c:pt idx="1">
                  <c:v>13.461905246634128</c:v>
                </c:pt>
                <c:pt idx="2">
                  <c:v>24.726113763225463</c:v>
                </c:pt>
                <c:pt idx="3">
                  <c:v>66.9534695029717</c:v>
                </c:pt>
                <c:pt idx="4">
                  <c:v>78.009839818705132</c:v>
                </c:pt>
                <c:pt idx="5">
                  <c:v>537.27082923286002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EBC0-473C-A277-99D5A2C7FC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3571999"/>
        <c:axId val="2113568255"/>
      </c:lineChart>
      <c:dateAx>
        <c:axId val="2113571999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3568255"/>
        <c:crosses val="autoZero"/>
        <c:auto val="1"/>
        <c:lblOffset val="100"/>
        <c:baseTimeUnit val="months"/>
      </c:dateAx>
      <c:valAx>
        <c:axId val="2113568255"/>
        <c:scaling>
          <c:orientation val="minMax"/>
        </c:scaling>
        <c:delete val="1"/>
        <c:axPos val="l"/>
        <c:numFmt formatCode="0" sourceLinked="1"/>
        <c:majorTickMark val="out"/>
        <c:minorTickMark val="none"/>
        <c:tickLblPos val="nextTo"/>
        <c:crossAx val="21135719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Calculs!$I$22</c:f>
              <c:strCache>
                <c:ptCount val="1"/>
                <c:pt idx="0">
                  <c:v>Total dette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numRef>
              <c:f>Calculs!$H$23:$H$28</c:f>
              <c:numCache>
                <c:formatCode>mmm\-yy</c:formatCode>
                <c:ptCount val="6"/>
                <c:pt idx="0">
                  <c:v>45717</c:v>
                </c:pt>
                <c:pt idx="1">
                  <c:v>45748</c:v>
                </c:pt>
                <c:pt idx="2">
                  <c:v>45778</c:v>
                </c:pt>
                <c:pt idx="3">
                  <c:v>45809</c:v>
                </c:pt>
                <c:pt idx="4">
                  <c:v>45839</c:v>
                </c:pt>
                <c:pt idx="5">
                  <c:v>45870</c:v>
                </c:pt>
              </c:numCache>
            </c:numRef>
          </c:cat>
          <c:val>
            <c:numRef>
              <c:f>Calculs!$I$23:$I$28</c:f>
              <c:numCache>
                <c:formatCode>#\ ##0\ [$FCFA-2C0C]</c:formatCode>
                <c:ptCount val="6"/>
                <c:pt idx="0">
                  <c:v>8119578</c:v>
                </c:pt>
                <c:pt idx="1">
                  <c:v>10721539</c:v>
                </c:pt>
                <c:pt idx="2">
                  <c:v>1707120</c:v>
                </c:pt>
                <c:pt idx="3">
                  <c:v>100900000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5F-4C5A-AA28-A94791C496F9}"/>
            </c:ext>
          </c:extLst>
        </c:ser>
        <c:ser>
          <c:idx val="1"/>
          <c:order val="1"/>
          <c:tx>
            <c:strRef>
              <c:f>Calculs!$J$22</c:f>
              <c:strCache>
                <c:ptCount val="1"/>
                <c:pt idx="0">
                  <c:v>Montant payé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numRef>
              <c:f>Calculs!$H$23:$H$28</c:f>
              <c:numCache>
                <c:formatCode>mmm\-yy</c:formatCode>
                <c:ptCount val="6"/>
                <c:pt idx="0">
                  <c:v>45717</c:v>
                </c:pt>
                <c:pt idx="1">
                  <c:v>45748</c:v>
                </c:pt>
                <c:pt idx="2">
                  <c:v>45778</c:v>
                </c:pt>
                <c:pt idx="3">
                  <c:v>45809</c:v>
                </c:pt>
                <c:pt idx="4">
                  <c:v>45839</c:v>
                </c:pt>
                <c:pt idx="5">
                  <c:v>45870</c:v>
                </c:pt>
              </c:numCache>
            </c:numRef>
          </c:cat>
          <c:val>
            <c:numRef>
              <c:f>Calculs!$J$23:$J$28</c:f>
              <c:numCache>
                <c:formatCode>#\ ##0\ [$FCFA-2C0C]</c:formatCode>
                <c:ptCount val="6"/>
                <c:pt idx="0">
                  <c:v>37283204</c:v>
                </c:pt>
                <c:pt idx="1">
                  <c:v>378599</c:v>
                </c:pt>
                <c:pt idx="2">
                  <c:v>0</c:v>
                </c:pt>
                <c:pt idx="3">
                  <c:v>1745250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F5F-4C5A-AA28-A94791C496F9}"/>
            </c:ext>
          </c:extLst>
        </c:ser>
        <c:ser>
          <c:idx val="2"/>
          <c:order val="2"/>
          <c:tx>
            <c:strRef>
              <c:f>Calculs!$K$22</c:f>
              <c:strCache>
                <c:ptCount val="1"/>
                <c:pt idx="0">
                  <c:v>Prévision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numRef>
              <c:f>Calculs!$H$23:$H$28</c:f>
              <c:numCache>
                <c:formatCode>mmm\-yy</c:formatCode>
                <c:ptCount val="6"/>
                <c:pt idx="0">
                  <c:v>45717</c:v>
                </c:pt>
                <c:pt idx="1">
                  <c:v>45748</c:v>
                </c:pt>
                <c:pt idx="2">
                  <c:v>45778</c:v>
                </c:pt>
                <c:pt idx="3">
                  <c:v>45809</c:v>
                </c:pt>
                <c:pt idx="4">
                  <c:v>45839</c:v>
                </c:pt>
                <c:pt idx="5">
                  <c:v>45870</c:v>
                </c:pt>
              </c:numCache>
            </c:numRef>
          </c:cat>
          <c:val>
            <c:numRef>
              <c:f>Calculs!$K$23:$K$28</c:f>
              <c:numCache>
                <c:formatCode>#\ ##0\ [$FCFA-2C0C]</c:formatCode>
                <c:ptCount val="6"/>
                <c:pt idx="3">
                  <c:v>177000</c:v>
                </c:pt>
                <c:pt idx="4">
                  <c:v>1024800</c:v>
                </c:pt>
                <c:pt idx="5">
                  <c:v>100900000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F5F-4C5A-AA28-A94791C496F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13580319"/>
        <c:axId val="2113582815"/>
      </c:barChart>
      <c:dateAx>
        <c:axId val="2113580319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3582815"/>
        <c:crosses val="autoZero"/>
        <c:auto val="1"/>
        <c:lblOffset val="100"/>
        <c:baseTimeUnit val="months"/>
      </c:dateAx>
      <c:valAx>
        <c:axId val="2113582815"/>
        <c:scaling>
          <c:orientation val="minMax"/>
        </c:scaling>
        <c:delete val="0"/>
        <c:axPos val="l"/>
        <c:numFmt formatCode="#\ ##0\ [$FCFA-2C0C]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35803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3" Type="http://schemas.openxmlformats.org/officeDocument/2006/relationships/image" Target="../media/image3.png"/><Relationship Id="rId7" Type="http://schemas.openxmlformats.org/officeDocument/2006/relationships/chart" Target="../charts/chart3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chart" Target="../charts/chart2.xml"/><Relationship Id="rId5" Type="http://schemas.openxmlformats.org/officeDocument/2006/relationships/chart" Target="../charts/chart1.xml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142352</xdr:colOff>
      <xdr:row>1</xdr:row>
      <xdr:rowOff>32656</xdr:rowOff>
    </xdr:from>
    <xdr:to>
      <xdr:col>3</xdr:col>
      <xdr:colOff>1314660</xdr:colOff>
      <xdr:row>5</xdr:row>
      <xdr:rowOff>34081</xdr:rowOff>
    </xdr:to>
    <xdr:sp macro="" textlink="Calculs!$A$2">
      <xdr:nvSpPr>
        <xdr:cNvPr id="10" name="Rectangle à coins arrondis 9"/>
        <xdr:cNvSpPr/>
      </xdr:nvSpPr>
      <xdr:spPr>
        <a:xfrm>
          <a:off x="1733587" y="223156"/>
          <a:ext cx="2393749" cy="797043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95000"/>
            </a:schemeClr>
          </a:solidFill>
        </a:ln>
        <a:effectLst>
          <a:outerShdw blurRad="63500" sx="18000" sy="18000" algn="ctr" rotWithShape="0">
            <a:prstClr val="black">
              <a:alpha val="76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l"/>
          <a:fld id="{5F8A06C5-2A66-4228-8814-1C2843CB1C10}" type="TxLink">
            <a:rPr lang="en-US" sz="1300" b="1" i="0" u="none" strike="noStrike">
              <a:solidFill>
                <a:srgbClr val="000000"/>
              </a:solidFill>
              <a:latin typeface="Cambria" panose="02040503050406030204" pitchFamily="18" charset="0"/>
              <a:ea typeface="Cambria" panose="02040503050406030204" pitchFamily="18" charset="0"/>
              <a:cs typeface="Segoe UI" panose="020B0502040204020203" pitchFamily="34" charset="0"/>
            </a:rPr>
            <a:pPr algn="l"/>
            <a:t>182 272 729 FCFA</a:t>
          </a:fld>
          <a:endParaRPr lang="en-US" sz="1300" b="1">
            <a:latin typeface="Cambria" panose="02040503050406030204" pitchFamily="18" charset="0"/>
            <a:ea typeface="Cambria" panose="02040503050406030204" pitchFamily="18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10</xdr:col>
      <xdr:colOff>571500</xdr:colOff>
      <xdr:row>1</xdr:row>
      <xdr:rowOff>56707</xdr:rowOff>
    </xdr:from>
    <xdr:to>
      <xdr:col>12</xdr:col>
      <xdr:colOff>728381</xdr:colOff>
      <xdr:row>5</xdr:row>
      <xdr:rowOff>12745</xdr:rowOff>
    </xdr:to>
    <xdr:sp macro="" textlink="Calculs!M19">
      <xdr:nvSpPr>
        <xdr:cNvPr id="11" name="Rectangle à coins arrondis 10"/>
        <xdr:cNvSpPr/>
      </xdr:nvSpPr>
      <xdr:spPr>
        <a:xfrm>
          <a:off x="12853147" y="247207"/>
          <a:ext cx="1770528" cy="751656"/>
        </a:xfrm>
        <a:prstGeom prst="roundRect">
          <a:avLst/>
        </a:prstGeom>
        <a:solidFill>
          <a:srgbClr val="00B0F0"/>
        </a:solidFill>
        <a:ln>
          <a:noFill/>
        </a:ln>
        <a:effectLst>
          <a:outerShdw blurRad="63500" sx="18000" sy="18000" algn="ctr" rotWithShape="0">
            <a:prstClr val="black">
              <a:alpha val="76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l"/>
          <a:fld id="{7C0C9C8A-2064-4372-AAAB-8D67F5D415AA}" type="TxLink">
            <a:rPr lang="en-US" sz="1600" b="1" i="0" u="none" strike="noStrike">
              <a:solidFill>
                <a:schemeClr val="bg1"/>
              </a:solidFill>
              <a:latin typeface="Segoe UI" panose="020B0502040204020203" pitchFamily="34" charset="0"/>
              <a:ea typeface="Cambria" panose="02040503050406030204" pitchFamily="18" charset="0"/>
              <a:cs typeface="Segoe UI" panose="020B0502040204020203" pitchFamily="34" charset="0"/>
            </a:rPr>
            <a:pPr algn="l"/>
            <a:t> 263 </a:t>
          </a:fld>
          <a:endParaRPr lang="en-US" sz="1600" b="1">
            <a:solidFill>
              <a:schemeClr val="bg1"/>
            </a:solidFill>
            <a:latin typeface="Segoe UI" panose="020B0502040204020203" pitchFamily="34" charset="0"/>
            <a:ea typeface="Cambria" panose="02040503050406030204" pitchFamily="18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8</xdr:col>
      <xdr:colOff>880250</xdr:colOff>
      <xdr:row>1</xdr:row>
      <xdr:rowOff>59871</xdr:rowOff>
    </xdr:from>
    <xdr:to>
      <xdr:col>10</xdr:col>
      <xdr:colOff>437029</xdr:colOff>
      <xdr:row>5</xdr:row>
      <xdr:rowOff>27215</xdr:rowOff>
    </xdr:to>
    <xdr:sp macro="" textlink="Calculs!$C$22">
      <xdr:nvSpPr>
        <xdr:cNvPr id="12" name="Rectangle à coins arrondis 11"/>
        <xdr:cNvSpPr/>
      </xdr:nvSpPr>
      <xdr:spPr>
        <a:xfrm>
          <a:off x="10909515" y="250371"/>
          <a:ext cx="1809161" cy="762962"/>
        </a:xfrm>
        <a:prstGeom prst="roundRect">
          <a:avLst/>
        </a:prstGeom>
        <a:solidFill>
          <a:srgbClr val="00B0F0"/>
        </a:solidFill>
        <a:ln>
          <a:noFill/>
        </a:ln>
        <a:effectLst>
          <a:outerShdw blurRad="63500" sx="18000" sy="18000" algn="ctr" rotWithShape="0">
            <a:prstClr val="black">
              <a:alpha val="76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l"/>
          <a:fld id="{B3D42614-081A-4F68-BC5A-FE404F37493D}" type="TxLink">
            <a:rPr lang="en-US" sz="1800" b="0" i="0" u="none" strike="noStrike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  <a:cs typeface="Calibri"/>
            </a:rPr>
            <a:pPr algn="l"/>
            <a:t>28%</a:t>
          </a:fld>
          <a:endParaRPr lang="en-US" sz="1800" b="1">
            <a:solidFill>
              <a:schemeClr val="bg1"/>
            </a:solidFill>
            <a:latin typeface="Cambria" panose="02040503050406030204" pitchFamily="18" charset="0"/>
            <a:ea typeface="Cambria" panose="02040503050406030204" pitchFamily="18" charset="0"/>
          </a:endParaRPr>
        </a:p>
      </xdr:txBody>
    </xdr:sp>
    <xdr:clientData/>
  </xdr:twoCellAnchor>
  <xdr:twoCellAnchor>
    <xdr:from>
      <xdr:col>7</xdr:col>
      <xdr:colOff>267123</xdr:colOff>
      <xdr:row>1</xdr:row>
      <xdr:rowOff>32656</xdr:rowOff>
    </xdr:from>
    <xdr:to>
      <xdr:col>8</xdr:col>
      <xdr:colOff>755270</xdr:colOff>
      <xdr:row>5</xdr:row>
      <xdr:rowOff>34081</xdr:rowOff>
    </xdr:to>
    <xdr:sp macro="" textlink="Calculs!$A$17">
      <xdr:nvSpPr>
        <xdr:cNvPr id="13" name="Rectangle à coins arrondis 12"/>
        <xdr:cNvSpPr/>
      </xdr:nvSpPr>
      <xdr:spPr>
        <a:xfrm>
          <a:off x="8676337" y="223156"/>
          <a:ext cx="2093790" cy="790639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95000"/>
            </a:schemeClr>
          </a:solidFill>
        </a:ln>
        <a:effectLst>
          <a:outerShdw blurRad="63500" sx="18000" sy="18000" algn="ctr" rotWithShape="0">
            <a:prstClr val="black">
              <a:alpha val="76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marL="0" indent="0" algn="l"/>
          <a:fld id="{0C60EBDD-99A4-4E84-8C2C-79039AF56209}" type="TxLink">
            <a:rPr lang="en-US" sz="1300" b="1" i="0" u="none" strike="noStrike">
              <a:solidFill>
                <a:srgbClr val="000000"/>
              </a:solidFill>
              <a:latin typeface="Cambria" panose="02040503050406030204" pitchFamily="18" charset="0"/>
              <a:ea typeface="Cambria" panose="02040503050406030204" pitchFamily="18" charset="0"/>
              <a:cs typeface="Segoe UI" panose="020B0502040204020203" pitchFamily="34" charset="0"/>
            </a:rPr>
            <a:pPr marL="0" indent="0" algn="l"/>
            <a:t>28 859 618 FCFA</a:t>
          </a:fld>
          <a:endParaRPr lang="en-US" sz="1300" b="1" i="0" u="none" strike="noStrike">
            <a:solidFill>
              <a:srgbClr val="000000"/>
            </a:solidFill>
            <a:latin typeface="Cambria" panose="02040503050406030204" pitchFamily="18" charset="0"/>
            <a:ea typeface="Cambria" panose="02040503050406030204" pitchFamily="18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5</xdr:col>
      <xdr:colOff>839021</xdr:colOff>
      <xdr:row>1</xdr:row>
      <xdr:rowOff>32656</xdr:rowOff>
    </xdr:from>
    <xdr:to>
      <xdr:col>7</xdr:col>
      <xdr:colOff>142143</xdr:colOff>
      <xdr:row>5</xdr:row>
      <xdr:rowOff>34081</xdr:rowOff>
    </xdr:to>
    <xdr:sp macro="" textlink="Calculs!$A$12">
      <xdr:nvSpPr>
        <xdr:cNvPr id="14" name="Rectangle à coins arrondis 13"/>
        <xdr:cNvSpPr/>
      </xdr:nvSpPr>
      <xdr:spPr>
        <a:xfrm>
          <a:off x="6472378" y="223156"/>
          <a:ext cx="2078979" cy="790639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95000"/>
            </a:schemeClr>
          </a:solidFill>
        </a:ln>
        <a:effectLst>
          <a:outerShdw blurRad="63500" sx="18000" sy="18000" algn="ctr" rotWithShape="0">
            <a:prstClr val="black">
              <a:alpha val="76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marL="0" indent="0" algn="l"/>
          <a:fld id="{5500FA6D-E146-4458-AF1A-7A011390FD0C}" type="TxLink">
            <a:rPr lang="en-US" sz="1300" b="1" i="0" u="none" strike="noStrike">
              <a:solidFill>
                <a:srgbClr val="000000"/>
              </a:solidFill>
              <a:latin typeface="Cambria" panose="02040503050406030204" pitchFamily="18" charset="0"/>
              <a:ea typeface="Cambria" panose="02040503050406030204" pitchFamily="18" charset="0"/>
              <a:cs typeface="Segoe UI" panose="020B0502040204020203" pitchFamily="34" charset="0"/>
            </a:rPr>
            <a:pPr marL="0" indent="0" algn="l"/>
            <a:t>102 101 800 FCFA</a:t>
          </a:fld>
          <a:endParaRPr lang="en-US" sz="1300" b="1" i="0" u="none" strike="noStrike">
            <a:solidFill>
              <a:srgbClr val="000000"/>
            </a:solidFill>
            <a:latin typeface="Cambria" panose="02040503050406030204" pitchFamily="18" charset="0"/>
            <a:ea typeface="Cambria" panose="02040503050406030204" pitchFamily="18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3</xdr:col>
      <xdr:colOff>1439640</xdr:colOff>
      <xdr:row>1</xdr:row>
      <xdr:rowOff>32656</xdr:rowOff>
    </xdr:from>
    <xdr:to>
      <xdr:col>5</xdr:col>
      <xdr:colOff>714041</xdr:colOff>
      <xdr:row>5</xdr:row>
      <xdr:rowOff>34081</xdr:rowOff>
    </xdr:to>
    <xdr:sp macro="" textlink="Calculs!$A$5">
      <xdr:nvSpPr>
        <xdr:cNvPr id="15" name="Rectangle à coins arrondis 14"/>
        <xdr:cNvSpPr/>
      </xdr:nvSpPr>
      <xdr:spPr>
        <a:xfrm>
          <a:off x="4256319" y="223156"/>
          <a:ext cx="2091079" cy="790639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95000"/>
            </a:schemeClr>
          </a:solidFill>
        </a:ln>
        <a:effectLst>
          <a:outerShdw blurRad="63500" sx="18000" sy="18000" algn="ctr" rotWithShape="0">
            <a:prstClr val="black">
              <a:alpha val="76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l"/>
          <a:fld id="{A11470B5-9512-4EB8-9525-9EB54343367D}" type="TxLink">
            <a:rPr lang="en-US" sz="1600" b="1" i="0" u="none" strike="noStrike">
              <a:solidFill>
                <a:srgbClr val="000000"/>
              </a:solidFill>
              <a:latin typeface="Cambria" panose="02040503050406030204" pitchFamily="18" charset="0"/>
              <a:ea typeface="Cambria" panose="02040503050406030204" pitchFamily="18" charset="0"/>
              <a:cs typeface="Calibri"/>
            </a:rPr>
            <a:pPr algn="l"/>
            <a:t>51 311 311 FCFA</a:t>
          </a:fld>
          <a:endParaRPr lang="en-US" sz="1600" b="1">
            <a:latin typeface="Cambria" panose="02040503050406030204" pitchFamily="18" charset="0"/>
            <a:ea typeface="Cambria" panose="02040503050406030204" pitchFamily="18" charset="0"/>
          </a:endParaRPr>
        </a:p>
      </xdr:txBody>
    </xdr:sp>
    <xdr:clientData/>
  </xdr:twoCellAnchor>
  <xdr:twoCellAnchor>
    <xdr:from>
      <xdr:col>2</xdr:col>
      <xdr:colOff>136072</xdr:colOff>
      <xdr:row>6</xdr:row>
      <xdr:rowOff>54429</xdr:rowOff>
    </xdr:from>
    <xdr:to>
      <xdr:col>5</xdr:col>
      <xdr:colOff>734785</xdr:colOff>
      <xdr:row>17</xdr:row>
      <xdr:rowOff>163285</xdr:rowOff>
    </xdr:to>
    <xdr:sp macro="" textlink="">
      <xdr:nvSpPr>
        <xdr:cNvPr id="16" name="Rectangle à coins arrondis 15"/>
        <xdr:cNvSpPr/>
      </xdr:nvSpPr>
      <xdr:spPr>
        <a:xfrm>
          <a:off x="1605643" y="1238250"/>
          <a:ext cx="4640035" cy="2326821"/>
        </a:xfrm>
        <a:prstGeom prst="roundRect">
          <a:avLst>
            <a:gd name="adj" fmla="val 3594"/>
          </a:avLst>
        </a:prstGeom>
        <a:solidFill>
          <a:schemeClr val="bg1"/>
        </a:solidFill>
        <a:ln>
          <a:solidFill>
            <a:schemeClr val="bg1">
              <a:lumMod val="95000"/>
            </a:schemeClr>
          </a:solidFill>
        </a:ln>
        <a:effectLst>
          <a:outerShdw blurRad="63500" sx="18000" sy="18000" algn="ctr" rotWithShape="0">
            <a:prstClr val="black">
              <a:alpha val="76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>
            <a:latin typeface="Cambria" panose="02040503050406030204" pitchFamily="18" charset="0"/>
            <a:ea typeface="Cambria" panose="02040503050406030204" pitchFamily="18" charset="0"/>
          </a:endParaRPr>
        </a:p>
      </xdr:txBody>
    </xdr:sp>
    <xdr:clientData/>
  </xdr:twoCellAnchor>
  <xdr:twoCellAnchor>
    <xdr:from>
      <xdr:col>5</xdr:col>
      <xdr:colOff>916320</xdr:colOff>
      <xdr:row>6</xdr:row>
      <xdr:rowOff>68036</xdr:rowOff>
    </xdr:from>
    <xdr:to>
      <xdr:col>8</xdr:col>
      <xdr:colOff>689322</xdr:colOff>
      <xdr:row>17</xdr:row>
      <xdr:rowOff>179294</xdr:rowOff>
    </xdr:to>
    <xdr:sp macro="" textlink="">
      <xdr:nvSpPr>
        <xdr:cNvPr id="21" name="Rectangle à coins arrondis 20"/>
        <xdr:cNvSpPr/>
      </xdr:nvSpPr>
      <xdr:spPr>
        <a:xfrm>
          <a:off x="6541673" y="1267065"/>
          <a:ext cx="4176914" cy="2363641"/>
        </a:xfrm>
        <a:prstGeom prst="roundRect">
          <a:avLst>
            <a:gd name="adj" fmla="val 3594"/>
          </a:avLst>
        </a:prstGeom>
        <a:solidFill>
          <a:schemeClr val="bg1"/>
        </a:solidFill>
        <a:ln>
          <a:solidFill>
            <a:schemeClr val="bg1">
              <a:lumMod val="95000"/>
            </a:schemeClr>
          </a:solidFill>
        </a:ln>
        <a:effectLst>
          <a:outerShdw blurRad="63500" sx="18000" sy="18000" algn="ctr" rotWithShape="0">
            <a:prstClr val="black">
              <a:alpha val="76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>
            <a:latin typeface="Cambria" panose="02040503050406030204" pitchFamily="18" charset="0"/>
            <a:ea typeface="Cambria" panose="02040503050406030204" pitchFamily="18" charset="0"/>
          </a:endParaRPr>
        </a:p>
      </xdr:txBody>
    </xdr:sp>
    <xdr:clientData/>
  </xdr:twoCellAnchor>
  <xdr:twoCellAnchor>
    <xdr:from>
      <xdr:col>8</xdr:col>
      <xdr:colOff>870857</xdr:colOff>
      <xdr:row>6</xdr:row>
      <xdr:rowOff>51953</xdr:rowOff>
    </xdr:from>
    <xdr:to>
      <xdr:col>12</xdr:col>
      <xdr:colOff>707572</xdr:colOff>
      <xdr:row>17</xdr:row>
      <xdr:rowOff>179293</xdr:rowOff>
    </xdr:to>
    <xdr:sp macro="" textlink="">
      <xdr:nvSpPr>
        <xdr:cNvPr id="22" name="Rectangle à coins arrondis 21"/>
        <xdr:cNvSpPr/>
      </xdr:nvSpPr>
      <xdr:spPr>
        <a:xfrm>
          <a:off x="10900122" y="1250982"/>
          <a:ext cx="3702744" cy="2379723"/>
        </a:xfrm>
        <a:prstGeom prst="roundRect">
          <a:avLst>
            <a:gd name="adj" fmla="val 3594"/>
          </a:avLst>
        </a:prstGeom>
        <a:solidFill>
          <a:schemeClr val="bg1"/>
        </a:solidFill>
        <a:ln>
          <a:solidFill>
            <a:schemeClr val="bg1">
              <a:lumMod val="95000"/>
            </a:schemeClr>
          </a:solidFill>
        </a:ln>
        <a:effectLst>
          <a:outerShdw blurRad="63500" sx="18000" sy="18000" algn="ctr" rotWithShape="0">
            <a:prstClr val="black">
              <a:alpha val="76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>
            <a:latin typeface="Cambria" panose="02040503050406030204" pitchFamily="18" charset="0"/>
            <a:ea typeface="Cambria" panose="02040503050406030204" pitchFamily="18" charset="0"/>
          </a:endParaRPr>
        </a:p>
      </xdr:txBody>
    </xdr:sp>
    <xdr:clientData/>
  </xdr:twoCellAnchor>
  <xdr:twoCellAnchor>
    <xdr:from>
      <xdr:col>2</xdr:col>
      <xdr:colOff>131884</xdr:colOff>
      <xdr:row>19</xdr:row>
      <xdr:rowOff>6977</xdr:rowOff>
    </xdr:from>
    <xdr:to>
      <xdr:col>5</xdr:col>
      <xdr:colOff>707570</xdr:colOff>
      <xdr:row>34</xdr:row>
      <xdr:rowOff>27215</xdr:rowOff>
    </xdr:to>
    <xdr:sp macro="" textlink="">
      <xdr:nvSpPr>
        <xdr:cNvPr id="23" name="Rectangle à coins arrondis 22"/>
        <xdr:cNvSpPr/>
      </xdr:nvSpPr>
      <xdr:spPr>
        <a:xfrm>
          <a:off x="1597269" y="3802323"/>
          <a:ext cx="4605493" cy="2877738"/>
        </a:xfrm>
        <a:prstGeom prst="roundRect">
          <a:avLst>
            <a:gd name="adj" fmla="val 3594"/>
          </a:avLst>
        </a:prstGeom>
        <a:solidFill>
          <a:schemeClr val="bg1"/>
        </a:solidFill>
        <a:ln>
          <a:solidFill>
            <a:schemeClr val="bg1">
              <a:lumMod val="95000"/>
            </a:schemeClr>
          </a:solidFill>
        </a:ln>
        <a:effectLst>
          <a:outerShdw blurRad="63500" sx="18000" sy="18000" algn="ctr" rotWithShape="0">
            <a:prstClr val="black">
              <a:alpha val="76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>
            <a:latin typeface="Cambria" panose="02040503050406030204" pitchFamily="18" charset="0"/>
            <a:ea typeface="Cambria" panose="02040503050406030204" pitchFamily="18" charset="0"/>
          </a:endParaRPr>
        </a:p>
      </xdr:txBody>
    </xdr:sp>
    <xdr:clientData/>
  </xdr:twoCellAnchor>
  <xdr:twoCellAnchor>
    <xdr:from>
      <xdr:col>5</xdr:col>
      <xdr:colOff>942295</xdr:colOff>
      <xdr:row>19</xdr:row>
      <xdr:rowOff>27215</xdr:rowOff>
    </xdr:from>
    <xdr:to>
      <xdr:col>8</xdr:col>
      <xdr:colOff>734786</xdr:colOff>
      <xdr:row>34</xdr:row>
      <xdr:rowOff>40821</xdr:rowOff>
    </xdr:to>
    <xdr:sp macro="" textlink="">
      <xdr:nvSpPr>
        <xdr:cNvPr id="24" name="Rectangle à coins arrondis 23"/>
        <xdr:cNvSpPr/>
      </xdr:nvSpPr>
      <xdr:spPr>
        <a:xfrm>
          <a:off x="6453188" y="3810001"/>
          <a:ext cx="4173991" cy="2871106"/>
        </a:xfrm>
        <a:prstGeom prst="roundRect">
          <a:avLst>
            <a:gd name="adj" fmla="val 3594"/>
          </a:avLst>
        </a:prstGeom>
        <a:solidFill>
          <a:schemeClr val="bg1"/>
        </a:solidFill>
        <a:ln>
          <a:solidFill>
            <a:schemeClr val="bg1">
              <a:lumMod val="95000"/>
            </a:schemeClr>
          </a:solidFill>
        </a:ln>
        <a:effectLst>
          <a:outerShdw blurRad="63500" sx="18000" sy="18000" algn="ctr" rotWithShape="0">
            <a:prstClr val="black">
              <a:alpha val="76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>
            <a:latin typeface="Cambria" panose="02040503050406030204" pitchFamily="18" charset="0"/>
            <a:ea typeface="Cambria" panose="02040503050406030204" pitchFamily="18" charset="0"/>
          </a:endParaRPr>
        </a:p>
      </xdr:txBody>
    </xdr:sp>
    <xdr:clientData/>
  </xdr:twoCellAnchor>
  <xdr:twoCellAnchor>
    <xdr:from>
      <xdr:col>8</xdr:col>
      <xdr:colOff>895670</xdr:colOff>
      <xdr:row>18</xdr:row>
      <xdr:rowOff>188899</xdr:rowOff>
    </xdr:from>
    <xdr:to>
      <xdr:col>12</xdr:col>
      <xdr:colOff>773208</xdr:colOff>
      <xdr:row>34</xdr:row>
      <xdr:rowOff>56028</xdr:rowOff>
    </xdr:to>
    <xdr:sp macro="" textlink="">
      <xdr:nvSpPr>
        <xdr:cNvPr id="25" name="Rectangle à coins arrondis 24"/>
        <xdr:cNvSpPr/>
      </xdr:nvSpPr>
      <xdr:spPr>
        <a:xfrm>
          <a:off x="10924935" y="3830811"/>
          <a:ext cx="3743567" cy="2915129"/>
        </a:xfrm>
        <a:prstGeom prst="roundRect">
          <a:avLst>
            <a:gd name="adj" fmla="val 3594"/>
          </a:avLst>
        </a:prstGeom>
        <a:solidFill>
          <a:schemeClr val="bg1"/>
        </a:solidFill>
        <a:ln>
          <a:solidFill>
            <a:schemeClr val="bg1">
              <a:lumMod val="95000"/>
            </a:schemeClr>
          </a:solidFill>
        </a:ln>
        <a:effectLst>
          <a:outerShdw blurRad="63500" sx="18000" sy="18000" algn="ctr" rotWithShape="0">
            <a:prstClr val="black">
              <a:alpha val="76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>
            <a:latin typeface="Cambria" panose="02040503050406030204" pitchFamily="18" charset="0"/>
            <a:ea typeface="Cambria" panose="02040503050406030204" pitchFamily="18" charset="0"/>
          </a:endParaRPr>
        </a:p>
      </xdr:txBody>
    </xdr:sp>
    <xdr:clientData/>
  </xdr:twoCellAnchor>
  <xdr:twoCellAnchor>
    <xdr:from>
      <xdr:col>2</xdr:col>
      <xdr:colOff>285748</xdr:colOff>
      <xdr:row>0</xdr:row>
      <xdr:rowOff>180973</xdr:rowOff>
    </xdr:from>
    <xdr:to>
      <xdr:col>3</xdr:col>
      <xdr:colOff>439310</xdr:colOff>
      <xdr:row>2</xdr:row>
      <xdr:rowOff>51973</xdr:rowOff>
    </xdr:to>
    <xdr:sp macro="" textlink="">
      <xdr:nvSpPr>
        <xdr:cNvPr id="26" name="ZoneTexte 25"/>
        <xdr:cNvSpPr txBox="1"/>
      </xdr:nvSpPr>
      <xdr:spPr>
        <a:xfrm>
          <a:off x="2476498" y="180973"/>
          <a:ext cx="1368000" cy="252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chemeClr val="bg1">
                  <a:lumMod val="50000"/>
                </a:schemeClr>
              </a:solidFill>
              <a:latin typeface="Cambria" panose="02040503050406030204" pitchFamily="18" charset="0"/>
              <a:ea typeface="Cambria" panose="02040503050406030204" pitchFamily="18" charset="0"/>
              <a:cs typeface="Segoe UI" panose="020B0502040204020203" pitchFamily="34" charset="0"/>
            </a:rPr>
            <a:t>Total</a:t>
          </a:r>
          <a:r>
            <a:rPr lang="en-US" sz="1100" b="1" baseline="0">
              <a:solidFill>
                <a:schemeClr val="bg1">
                  <a:lumMod val="50000"/>
                </a:schemeClr>
              </a:solidFill>
              <a:latin typeface="Cambria" panose="02040503050406030204" pitchFamily="18" charset="0"/>
              <a:ea typeface="Cambria" panose="02040503050406030204" pitchFamily="18" charset="0"/>
              <a:cs typeface="Segoe UI" panose="020B0502040204020203" pitchFamily="34" charset="0"/>
            </a:rPr>
            <a:t> Fournisseur</a:t>
          </a:r>
          <a:endParaRPr lang="en-US" sz="1100" b="1">
            <a:solidFill>
              <a:schemeClr val="bg1">
                <a:lumMod val="50000"/>
              </a:schemeClr>
            </a:solidFill>
            <a:latin typeface="Cambria" panose="02040503050406030204" pitchFamily="18" charset="0"/>
            <a:ea typeface="Cambria" panose="02040503050406030204" pitchFamily="18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3</xdr:col>
      <xdr:colOff>1372333</xdr:colOff>
      <xdr:row>1</xdr:row>
      <xdr:rowOff>2380</xdr:rowOff>
    </xdr:from>
    <xdr:to>
      <xdr:col>4</xdr:col>
      <xdr:colOff>1242893</xdr:colOff>
      <xdr:row>2</xdr:row>
      <xdr:rowOff>63880</xdr:rowOff>
    </xdr:to>
    <xdr:sp macro="" textlink="">
      <xdr:nvSpPr>
        <xdr:cNvPr id="27" name="ZoneTexte 26"/>
        <xdr:cNvSpPr txBox="1"/>
      </xdr:nvSpPr>
      <xdr:spPr>
        <a:xfrm>
          <a:off x="4053987" y="192880"/>
          <a:ext cx="1365252" cy="252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chemeClr val="bg1">
                  <a:lumMod val="50000"/>
                </a:schemeClr>
              </a:solidFill>
              <a:latin typeface="Cambria" panose="02040503050406030204" pitchFamily="18" charset="0"/>
              <a:ea typeface="Cambria" panose="02040503050406030204" pitchFamily="18" charset="0"/>
              <a:cs typeface="Segoe UI" panose="020B0502040204020203" pitchFamily="34" charset="0"/>
            </a:rPr>
            <a:t>Total</a:t>
          </a:r>
          <a:r>
            <a:rPr lang="en-US" sz="1100" b="1" baseline="0">
              <a:solidFill>
                <a:schemeClr val="bg1">
                  <a:lumMod val="50000"/>
                </a:schemeClr>
              </a:solidFill>
              <a:latin typeface="Cambria" panose="02040503050406030204" pitchFamily="18" charset="0"/>
              <a:ea typeface="Cambria" panose="02040503050406030204" pitchFamily="18" charset="0"/>
              <a:cs typeface="Segoe UI" panose="020B0502040204020203" pitchFamily="34" charset="0"/>
            </a:rPr>
            <a:t> payé</a:t>
          </a:r>
          <a:endParaRPr lang="en-US" sz="1100" b="1">
            <a:solidFill>
              <a:schemeClr val="bg1">
                <a:lumMod val="50000"/>
              </a:schemeClr>
            </a:solidFill>
            <a:latin typeface="Cambria" panose="02040503050406030204" pitchFamily="18" charset="0"/>
            <a:ea typeface="Cambria" panose="02040503050406030204" pitchFamily="18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5</xdr:col>
      <xdr:colOff>947737</xdr:colOff>
      <xdr:row>1</xdr:row>
      <xdr:rowOff>2380</xdr:rowOff>
    </xdr:from>
    <xdr:to>
      <xdr:col>6</xdr:col>
      <xdr:colOff>827456</xdr:colOff>
      <xdr:row>2</xdr:row>
      <xdr:rowOff>63880</xdr:rowOff>
    </xdr:to>
    <xdr:sp macro="" textlink="">
      <xdr:nvSpPr>
        <xdr:cNvPr id="28" name="ZoneTexte 27"/>
        <xdr:cNvSpPr txBox="1"/>
      </xdr:nvSpPr>
      <xdr:spPr>
        <a:xfrm>
          <a:off x="7174706" y="192880"/>
          <a:ext cx="1368000" cy="252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chemeClr val="bg1">
                  <a:lumMod val="50000"/>
                </a:schemeClr>
              </a:solidFill>
              <a:latin typeface="Cambria" panose="02040503050406030204" pitchFamily="18" charset="0"/>
              <a:ea typeface="Cambria" panose="02040503050406030204" pitchFamily="18" charset="0"/>
              <a:cs typeface="Segoe UI" panose="020B0502040204020203" pitchFamily="34" charset="0"/>
            </a:rPr>
            <a:t>A</a:t>
          </a:r>
          <a:r>
            <a:rPr lang="en-US" sz="1100" b="1" baseline="0">
              <a:solidFill>
                <a:schemeClr val="bg1">
                  <a:lumMod val="50000"/>
                </a:schemeClr>
              </a:solidFill>
              <a:latin typeface="Cambria" panose="02040503050406030204" pitchFamily="18" charset="0"/>
              <a:ea typeface="Cambria" panose="02040503050406030204" pitchFamily="18" charset="0"/>
              <a:cs typeface="Segoe UI" panose="020B0502040204020203" pitchFamily="34" charset="0"/>
            </a:rPr>
            <a:t> venir</a:t>
          </a:r>
          <a:endParaRPr lang="en-US" sz="1100" b="1">
            <a:solidFill>
              <a:schemeClr val="bg1">
                <a:lumMod val="50000"/>
              </a:schemeClr>
            </a:solidFill>
            <a:latin typeface="Cambria" panose="02040503050406030204" pitchFamily="18" charset="0"/>
            <a:ea typeface="Cambria" panose="02040503050406030204" pitchFamily="18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7</xdr:col>
      <xdr:colOff>326231</xdr:colOff>
      <xdr:row>1</xdr:row>
      <xdr:rowOff>2380</xdr:rowOff>
    </xdr:from>
    <xdr:to>
      <xdr:col>8</xdr:col>
      <xdr:colOff>86887</xdr:colOff>
      <xdr:row>2</xdr:row>
      <xdr:rowOff>63880</xdr:rowOff>
    </xdr:to>
    <xdr:sp macro="" textlink="">
      <xdr:nvSpPr>
        <xdr:cNvPr id="29" name="ZoneTexte 28"/>
        <xdr:cNvSpPr txBox="1"/>
      </xdr:nvSpPr>
      <xdr:spPr>
        <a:xfrm>
          <a:off x="9339262" y="192880"/>
          <a:ext cx="1368000" cy="252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chemeClr val="bg1">
                  <a:lumMod val="50000"/>
                </a:schemeClr>
              </a:solidFill>
              <a:latin typeface="Cambria" panose="02040503050406030204" pitchFamily="18" charset="0"/>
              <a:ea typeface="Cambria" panose="02040503050406030204" pitchFamily="18" charset="0"/>
              <a:cs typeface="Segoe UI" panose="020B0502040204020203" pitchFamily="34" charset="0"/>
            </a:rPr>
            <a:t>Retard</a:t>
          </a:r>
        </a:p>
      </xdr:txBody>
    </xdr:sp>
    <xdr:clientData/>
  </xdr:twoCellAnchor>
  <xdr:twoCellAnchor>
    <xdr:from>
      <xdr:col>8</xdr:col>
      <xdr:colOff>874939</xdr:colOff>
      <xdr:row>1</xdr:row>
      <xdr:rowOff>15987</xdr:rowOff>
    </xdr:from>
    <xdr:to>
      <xdr:col>9</xdr:col>
      <xdr:colOff>838001</xdr:colOff>
      <xdr:row>2</xdr:row>
      <xdr:rowOff>77487</xdr:rowOff>
    </xdr:to>
    <xdr:sp macro="" textlink="">
      <xdr:nvSpPr>
        <xdr:cNvPr id="30" name="ZoneTexte 29"/>
        <xdr:cNvSpPr txBox="1"/>
      </xdr:nvSpPr>
      <xdr:spPr>
        <a:xfrm>
          <a:off x="10767332" y="206487"/>
          <a:ext cx="1364598" cy="252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  <a:cs typeface="Segoe UI" panose="020B0502040204020203" pitchFamily="34" charset="0"/>
            </a:rPr>
            <a:t>Taux</a:t>
          </a:r>
          <a:r>
            <a:rPr lang="en-US" sz="1100" b="1" baseline="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  <a:cs typeface="Segoe UI" panose="020B0502040204020203" pitchFamily="34" charset="0"/>
            </a:rPr>
            <a:t> de paiement</a:t>
          </a:r>
          <a:endParaRPr lang="en-US" sz="1100" b="1">
            <a:solidFill>
              <a:schemeClr val="bg1"/>
            </a:solidFill>
            <a:latin typeface="Cambria" panose="02040503050406030204" pitchFamily="18" charset="0"/>
            <a:ea typeface="Cambria" panose="02040503050406030204" pitchFamily="18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10</xdr:col>
      <xdr:colOff>529183</xdr:colOff>
      <xdr:row>1</xdr:row>
      <xdr:rowOff>45295</xdr:rowOff>
    </xdr:from>
    <xdr:to>
      <xdr:col>12</xdr:col>
      <xdr:colOff>791115</xdr:colOff>
      <xdr:row>2</xdr:row>
      <xdr:rowOff>126259</xdr:rowOff>
    </xdr:to>
    <xdr:sp macro="" textlink="">
      <xdr:nvSpPr>
        <xdr:cNvPr id="31" name="ZoneTexte 30"/>
        <xdr:cNvSpPr txBox="1"/>
      </xdr:nvSpPr>
      <xdr:spPr>
        <a:xfrm>
          <a:off x="12810830" y="235795"/>
          <a:ext cx="1875579" cy="2714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  <a:cs typeface="Segoe UI" panose="020B0502040204020203" pitchFamily="34" charset="0"/>
            </a:rPr>
            <a:t>Delai</a:t>
          </a:r>
          <a:r>
            <a:rPr lang="en-US" sz="1100" b="1" baseline="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  <a:cs typeface="Segoe UI" panose="020B0502040204020203" pitchFamily="34" charset="0"/>
            </a:rPr>
            <a:t> de paiement (Jours)</a:t>
          </a:r>
          <a:endParaRPr lang="en-US" sz="1100" b="1">
            <a:solidFill>
              <a:schemeClr val="bg1"/>
            </a:solidFill>
            <a:latin typeface="Cambria" panose="02040503050406030204" pitchFamily="18" charset="0"/>
            <a:ea typeface="Cambria" panose="02040503050406030204" pitchFamily="18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2</xdr:col>
      <xdr:colOff>201323</xdr:colOff>
      <xdr:row>6</xdr:row>
      <xdr:rowOff>54984</xdr:rowOff>
    </xdr:from>
    <xdr:to>
      <xdr:col>3</xdr:col>
      <xdr:colOff>354885</xdr:colOff>
      <xdr:row>7</xdr:row>
      <xdr:rowOff>92671</xdr:rowOff>
    </xdr:to>
    <xdr:sp macro="" textlink="">
      <xdr:nvSpPr>
        <xdr:cNvPr id="33" name="ZoneTexte 32"/>
        <xdr:cNvSpPr txBox="1"/>
      </xdr:nvSpPr>
      <xdr:spPr>
        <a:xfrm>
          <a:off x="1777278" y="1249939"/>
          <a:ext cx="1365834" cy="24550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1100" b="1">
              <a:solidFill>
                <a:sysClr val="windowText" lastClr="000000"/>
              </a:solidFill>
              <a:latin typeface="Cambria" panose="02040503050406030204" pitchFamily="18" charset="0"/>
              <a:ea typeface="Cambria" panose="02040503050406030204" pitchFamily="18" charset="0"/>
              <a:cs typeface="Segoe UI" panose="020B0502040204020203" pitchFamily="34" charset="0"/>
            </a:rPr>
            <a:t>Balance</a:t>
          </a:r>
          <a:r>
            <a:rPr lang="en-US" sz="1100" b="1" baseline="0">
              <a:solidFill>
                <a:sysClr val="windowText" lastClr="000000"/>
              </a:solidFill>
              <a:latin typeface="Cambria" panose="02040503050406030204" pitchFamily="18" charset="0"/>
              <a:ea typeface="Cambria" panose="02040503050406030204" pitchFamily="18" charset="0"/>
              <a:cs typeface="Segoe UI" panose="020B0502040204020203" pitchFamily="34" charset="0"/>
            </a:rPr>
            <a:t> Agée</a:t>
          </a:r>
          <a:endParaRPr lang="en-US" sz="1100" b="1">
            <a:solidFill>
              <a:sysClr val="windowText" lastClr="000000"/>
            </a:solidFill>
            <a:latin typeface="Cambria" panose="02040503050406030204" pitchFamily="18" charset="0"/>
            <a:ea typeface="Cambria" panose="02040503050406030204" pitchFamily="18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5</xdr:col>
      <xdr:colOff>914397</xdr:colOff>
      <xdr:row>6</xdr:row>
      <xdr:rowOff>106939</xdr:rowOff>
    </xdr:from>
    <xdr:to>
      <xdr:col>7</xdr:col>
      <xdr:colOff>1333500</xdr:colOff>
      <xdr:row>7</xdr:row>
      <xdr:rowOff>148071</xdr:rowOff>
    </xdr:to>
    <xdr:sp macro="" textlink="">
      <xdr:nvSpPr>
        <xdr:cNvPr id="34" name="ZoneTexte 33"/>
        <xdr:cNvSpPr txBox="1"/>
      </xdr:nvSpPr>
      <xdr:spPr>
        <a:xfrm>
          <a:off x="6508170" y="1301894"/>
          <a:ext cx="3207330" cy="2489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1100" b="1">
              <a:solidFill>
                <a:sysClr val="windowText" lastClr="000000"/>
              </a:solidFill>
              <a:latin typeface="Cambria" panose="02040503050406030204" pitchFamily="18" charset="0"/>
              <a:ea typeface="Cambria" panose="02040503050406030204" pitchFamily="18" charset="0"/>
              <a:cs typeface="Segoe UI" panose="020B0502040204020203" pitchFamily="34" charset="0"/>
            </a:rPr>
            <a:t>Sorties</a:t>
          </a:r>
          <a:r>
            <a:rPr lang="en-US" sz="1100" b="1" baseline="0">
              <a:solidFill>
                <a:sysClr val="windowText" lastClr="000000"/>
              </a:solidFill>
              <a:latin typeface="Cambria" panose="02040503050406030204" pitchFamily="18" charset="0"/>
              <a:ea typeface="Cambria" panose="02040503050406030204" pitchFamily="18" charset="0"/>
              <a:cs typeface="Segoe UI" panose="020B0502040204020203" pitchFamily="34" charset="0"/>
            </a:rPr>
            <a:t> des fonds </a:t>
          </a:r>
          <a:r>
            <a:rPr lang="en-US" sz="1100" b="1">
              <a:solidFill>
                <a:sysClr val="windowText" lastClr="000000"/>
              </a:solidFill>
              <a:latin typeface="Cambria" panose="02040503050406030204" pitchFamily="18" charset="0"/>
              <a:ea typeface="Cambria" panose="02040503050406030204" pitchFamily="18" charset="0"/>
              <a:cs typeface="Segoe UI" panose="020B0502040204020203" pitchFamily="34" charset="0"/>
            </a:rPr>
            <a:t>réelles</a:t>
          </a:r>
          <a:r>
            <a:rPr lang="en-US" sz="1100" b="1" baseline="0">
              <a:solidFill>
                <a:sysClr val="windowText" lastClr="000000"/>
              </a:solidFill>
              <a:latin typeface="Cambria" panose="02040503050406030204" pitchFamily="18" charset="0"/>
              <a:ea typeface="Cambria" panose="02040503050406030204" pitchFamily="18" charset="0"/>
              <a:cs typeface="Segoe UI" panose="020B0502040204020203" pitchFamily="34" charset="0"/>
            </a:rPr>
            <a:t> vs estimés sur 3 mois</a:t>
          </a:r>
          <a:endParaRPr lang="en-US" sz="1100" b="1">
            <a:solidFill>
              <a:sysClr val="windowText" lastClr="000000"/>
            </a:solidFill>
            <a:latin typeface="Cambria" panose="02040503050406030204" pitchFamily="18" charset="0"/>
            <a:ea typeface="Cambria" panose="02040503050406030204" pitchFamily="18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8</xdr:col>
      <xdr:colOff>947736</xdr:colOff>
      <xdr:row>6</xdr:row>
      <xdr:rowOff>106938</xdr:rowOff>
    </xdr:from>
    <xdr:to>
      <xdr:col>11</xdr:col>
      <xdr:colOff>358588</xdr:colOff>
      <xdr:row>7</xdr:row>
      <xdr:rowOff>98815</xdr:rowOff>
    </xdr:to>
    <xdr:sp macro="" textlink="">
      <xdr:nvSpPr>
        <xdr:cNvPr id="35" name="ZoneTexte 34"/>
        <xdr:cNvSpPr txBox="1"/>
      </xdr:nvSpPr>
      <xdr:spPr>
        <a:xfrm>
          <a:off x="10940327" y="1301893"/>
          <a:ext cx="2441534" cy="199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1100" b="1">
              <a:solidFill>
                <a:sysClr val="windowText" lastClr="000000"/>
              </a:solidFill>
              <a:latin typeface="Cambria" panose="02040503050406030204" pitchFamily="18" charset="0"/>
              <a:ea typeface="Cambria" panose="02040503050406030204" pitchFamily="18" charset="0"/>
              <a:cs typeface="Segoe UI" panose="020B0502040204020203" pitchFamily="34" charset="0"/>
            </a:rPr>
            <a:t>Evolution</a:t>
          </a:r>
          <a:r>
            <a:rPr lang="en-US" sz="1100" b="1" baseline="0">
              <a:solidFill>
                <a:sysClr val="windowText" lastClr="000000"/>
              </a:solidFill>
              <a:latin typeface="Cambria" panose="02040503050406030204" pitchFamily="18" charset="0"/>
              <a:ea typeface="Cambria" panose="02040503050406030204" pitchFamily="18" charset="0"/>
              <a:cs typeface="Segoe UI" panose="020B0502040204020203" pitchFamily="34" charset="0"/>
            </a:rPr>
            <a:t> du Delai de paiement</a:t>
          </a:r>
          <a:endParaRPr lang="en-US" sz="1100" b="1">
            <a:solidFill>
              <a:sysClr val="windowText" lastClr="000000"/>
            </a:solidFill>
            <a:latin typeface="Cambria" panose="02040503050406030204" pitchFamily="18" charset="0"/>
            <a:ea typeface="Cambria" panose="02040503050406030204" pitchFamily="18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5</xdr:col>
      <xdr:colOff>957260</xdr:colOff>
      <xdr:row>19</xdr:row>
      <xdr:rowOff>65992</xdr:rowOff>
    </xdr:from>
    <xdr:to>
      <xdr:col>7</xdr:col>
      <xdr:colOff>940593</xdr:colOff>
      <xdr:row>20</xdr:row>
      <xdr:rowOff>106475</xdr:rowOff>
    </xdr:to>
    <xdr:sp macro="" textlink="">
      <xdr:nvSpPr>
        <xdr:cNvPr id="37" name="ZoneTexte 36"/>
        <xdr:cNvSpPr txBox="1"/>
      </xdr:nvSpPr>
      <xdr:spPr>
        <a:xfrm>
          <a:off x="6462710" y="3875992"/>
          <a:ext cx="2764633" cy="2309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1100" b="1">
              <a:solidFill>
                <a:sysClr val="windowText" lastClr="000000"/>
              </a:solidFill>
              <a:latin typeface="Cambria" panose="02040503050406030204" pitchFamily="18" charset="0"/>
              <a:ea typeface="Cambria" panose="02040503050406030204" pitchFamily="18" charset="0"/>
              <a:cs typeface="Segoe UI" panose="020B0502040204020203" pitchFamily="34" charset="0"/>
            </a:rPr>
            <a:t>Les</a:t>
          </a:r>
          <a:r>
            <a:rPr lang="en-US" sz="1100" b="1" baseline="0">
              <a:solidFill>
                <a:sysClr val="windowText" lastClr="000000"/>
              </a:solidFill>
              <a:latin typeface="Cambria" panose="02040503050406030204" pitchFamily="18" charset="0"/>
              <a:ea typeface="Cambria" panose="02040503050406030204" pitchFamily="18" charset="0"/>
              <a:cs typeface="Segoe UI" panose="020B0502040204020203" pitchFamily="34" charset="0"/>
            </a:rPr>
            <a:t> 5 fournisseurs par solde impayé</a:t>
          </a:r>
          <a:endParaRPr lang="en-US" sz="1100" b="1">
            <a:solidFill>
              <a:sysClr val="windowText" lastClr="000000"/>
            </a:solidFill>
            <a:latin typeface="Cambria" panose="02040503050406030204" pitchFamily="18" charset="0"/>
            <a:ea typeface="Cambria" panose="02040503050406030204" pitchFamily="18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8</xdr:col>
      <xdr:colOff>1025636</xdr:colOff>
      <xdr:row>19</xdr:row>
      <xdr:rowOff>48303</xdr:rowOff>
    </xdr:from>
    <xdr:to>
      <xdr:col>11</xdr:col>
      <xdr:colOff>770843</xdr:colOff>
      <xdr:row>20</xdr:row>
      <xdr:rowOff>88786</xdr:rowOff>
    </xdr:to>
    <xdr:sp macro="" textlink="">
      <xdr:nvSpPr>
        <xdr:cNvPr id="38" name="ZoneTexte 37"/>
        <xdr:cNvSpPr txBox="1"/>
      </xdr:nvSpPr>
      <xdr:spPr>
        <a:xfrm>
          <a:off x="10918029" y="3831089"/>
          <a:ext cx="2765993" cy="2309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1100" b="1">
              <a:solidFill>
                <a:sysClr val="windowText" lastClr="000000"/>
              </a:solidFill>
              <a:latin typeface="Cambria" panose="02040503050406030204" pitchFamily="18" charset="0"/>
              <a:ea typeface="Cambria" panose="02040503050406030204" pitchFamily="18" charset="0"/>
              <a:cs typeface="Segoe UI" panose="020B0502040204020203" pitchFamily="34" charset="0"/>
            </a:rPr>
            <a:t>Solde</a:t>
          </a:r>
          <a:r>
            <a:rPr lang="en-US" sz="1100" b="1" baseline="0">
              <a:solidFill>
                <a:sysClr val="windowText" lastClr="000000"/>
              </a:solidFill>
              <a:latin typeface="Cambria" panose="02040503050406030204" pitchFamily="18" charset="0"/>
              <a:ea typeface="Cambria" panose="02040503050406030204" pitchFamily="18" charset="0"/>
              <a:cs typeface="Segoe UI" panose="020B0502040204020203" pitchFamily="34" charset="0"/>
            </a:rPr>
            <a:t> par catégorie de fournisseurs</a:t>
          </a:r>
          <a:endParaRPr lang="en-US" sz="1100" b="1">
            <a:solidFill>
              <a:sysClr val="windowText" lastClr="000000"/>
            </a:solidFill>
            <a:latin typeface="Cambria" panose="02040503050406030204" pitchFamily="18" charset="0"/>
            <a:ea typeface="Cambria" panose="02040503050406030204" pitchFamily="18" charset="0"/>
            <a:cs typeface="Segoe UI" panose="020B0502040204020203" pitchFamily="34" charset="0"/>
          </a:endParaRPr>
        </a:p>
      </xdr:txBody>
    </xdr:sp>
    <xdr:clientData/>
  </xdr:twoCellAnchor>
  <xdr:twoCellAnchor editAs="oneCell">
    <xdr:from>
      <xdr:col>8</xdr:col>
      <xdr:colOff>378619</xdr:colOff>
      <xdr:row>1</xdr:row>
      <xdr:rowOff>66674</xdr:rowOff>
    </xdr:from>
    <xdr:to>
      <xdr:col>8</xdr:col>
      <xdr:colOff>630619</xdr:colOff>
      <xdr:row>2</xdr:row>
      <xdr:rowOff>128174</xdr:rowOff>
    </xdr:to>
    <xdr:pic>
      <xdr:nvPicPr>
        <xdr:cNvPr id="39" name="Image 38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98994" y="257174"/>
          <a:ext cx="252000" cy="2520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6</xdr:col>
      <xdr:colOff>1126313</xdr:colOff>
      <xdr:row>1</xdr:row>
      <xdr:rowOff>42862</xdr:rowOff>
    </xdr:from>
    <xdr:to>
      <xdr:col>7</xdr:col>
      <xdr:colOff>78152</xdr:colOff>
      <xdr:row>2</xdr:row>
      <xdr:rowOff>104362</xdr:rowOff>
    </xdr:to>
    <xdr:pic>
      <xdr:nvPicPr>
        <xdr:cNvPr id="40" name="Image 39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41563" y="233362"/>
          <a:ext cx="249619" cy="2520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5</xdr:col>
      <xdr:colOff>304762</xdr:colOff>
      <xdr:row>1</xdr:row>
      <xdr:rowOff>66674</xdr:rowOff>
    </xdr:from>
    <xdr:to>
      <xdr:col>5</xdr:col>
      <xdr:colOff>653115</xdr:colOff>
      <xdr:row>2</xdr:row>
      <xdr:rowOff>128174</xdr:rowOff>
    </xdr:to>
    <xdr:pic>
      <xdr:nvPicPr>
        <xdr:cNvPr id="41" name="Image 40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1731" y="257174"/>
          <a:ext cx="348353" cy="2520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3</xdr:col>
      <xdr:colOff>759563</xdr:colOff>
      <xdr:row>1</xdr:row>
      <xdr:rowOff>35718</xdr:rowOff>
    </xdr:from>
    <xdr:to>
      <xdr:col>3</xdr:col>
      <xdr:colOff>1103199</xdr:colOff>
      <xdr:row>2</xdr:row>
      <xdr:rowOff>97218</xdr:rowOff>
    </xdr:to>
    <xdr:pic>
      <xdr:nvPicPr>
        <xdr:cNvPr id="42" name="Image 41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64751" y="226218"/>
          <a:ext cx="343636" cy="252000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3</xdr:col>
      <xdr:colOff>787644</xdr:colOff>
      <xdr:row>3</xdr:row>
      <xdr:rowOff>166689</xdr:rowOff>
    </xdr:from>
    <xdr:to>
      <xdr:col>3</xdr:col>
      <xdr:colOff>1377461</xdr:colOff>
      <xdr:row>4</xdr:row>
      <xdr:rowOff>202407</xdr:rowOff>
    </xdr:to>
    <xdr:sp macro="" textlink="Calculs!$C$2">
      <xdr:nvSpPr>
        <xdr:cNvPr id="47" name="Rectangle 46"/>
        <xdr:cNvSpPr/>
      </xdr:nvSpPr>
      <xdr:spPr>
        <a:xfrm>
          <a:off x="3469298" y="738189"/>
          <a:ext cx="589817" cy="226218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4519615A-061A-44D3-B1FE-85DFB48CEBD5}" type="TxLink">
            <a:rPr lang="en-US" sz="800" b="1" i="0" u="none" strike="noStrike">
              <a:solidFill>
                <a:schemeClr val="accent1">
                  <a:lumMod val="75000"/>
                </a:schemeClr>
              </a:solidFill>
              <a:latin typeface="Cambria" panose="02040503050406030204" pitchFamily="18" charset="0"/>
              <a:ea typeface="Cambria" panose="02040503050406030204" pitchFamily="18" charset="0"/>
              <a:cs typeface="Segoe UI" panose="020B0502040204020203" pitchFamily="34" charset="0"/>
            </a:rPr>
            <a:pPr algn="l"/>
            <a:t>115 Fac.</a:t>
          </a:fld>
          <a:endParaRPr lang="en-US" sz="800" b="1">
            <a:solidFill>
              <a:schemeClr val="accent1">
                <a:lumMod val="75000"/>
              </a:schemeClr>
            </a:solidFill>
            <a:latin typeface="Cambria" panose="02040503050406030204" pitchFamily="18" charset="0"/>
            <a:ea typeface="Cambria" panose="02040503050406030204" pitchFamily="18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6</xdr:col>
      <xdr:colOff>881064</xdr:colOff>
      <xdr:row>3</xdr:row>
      <xdr:rowOff>83344</xdr:rowOff>
    </xdr:from>
    <xdr:to>
      <xdr:col>7</xdr:col>
      <xdr:colOff>178595</xdr:colOff>
      <xdr:row>4</xdr:row>
      <xdr:rowOff>154781</xdr:rowOff>
    </xdr:to>
    <xdr:sp macro="" textlink="Calculs!$C$8">
      <xdr:nvSpPr>
        <xdr:cNvPr id="48" name="Rectangle 47"/>
        <xdr:cNvSpPr/>
      </xdr:nvSpPr>
      <xdr:spPr>
        <a:xfrm>
          <a:off x="8596314" y="654844"/>
          <a:ext cx="595312" cy="26193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fld id="{9075429F-6C28-4D04-9342-1954DA21B56A}" type="TxLink">
            <a:rPr lang="en-US" sz="800" b="1" i="0" u="none" strike="noStrike">
              <a:solidFill>
                <a:schemeClr val="accent1">
                  <a:lumMod val="75000"/>
                </a:schemeClr>
              </a:solidFill>
              <a:latin typeface="Cambria" panose="02040503050406030204" pitchFamily="18" charset="0"/>
              <a:ea typeface="Cambria" panose="02040503050406030204" pitchFamily="18" charset="0"/>
              <a:cs typeface="Segoe UI" panose="020B0502040204020203" pitchFamily="34" charset="0"/>
            </a:rPr>
            <a:pPr marL="0" indent="0" algn="l"/>
            <a:t> </a:t>
          </a:fld>
          <a:endParaRPr lang="en-US" sz="800" b="1" i="0" u="none" strike="noStrike">
            <a:solidFill>
              <a:schemeClr val="accent1">
                <a:lumMod val="75000"/>
              </a:schemeClr>
            </a:solidFill>
            <a:latin typeface="Cambria" panose="02040503050406030204" pitchFamily="18" charset="0"/>
            <a:ea typeface="Cambria" panose="02040503050406030204" pitchFamily="18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6</xdr:col>
      <xdr:colOff>914400</xdr:colOff>
      <xdr:row>3</xdr:row>
      <xdr:rowOff>119063</xdr:rowOff>
    </xdr:from>
    <xdr:to>
      <xdr:col>7</xdr:col>
      <xdr:colOff>211931</xdr:colOff>
      <xdr:row>4</xdr:row>
      <xdr:rowOff>154781</xdr:rowOff>
    </xdr:to>
    <xdr:sp macro="" textlink="Calculs!$C$12">
      <xdr:nvSpPr>
        <xdr:cNvPr id="43" name="Rectangle 42"/>
        <xdr:cNvSpPr/>
      </xdr:nvSpPr>
      <xdr:spPr>
        <a:xfrm>
          <a:off x="8629650" y="690563"/>
          <a:ext cx="595312" cy="226218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fld id="{E97837AC-B435-4906-8FB3-2B042FEC87C4}" type="TxLink">
            <a:rPr lang="en-US" sz="800" b="1" i="0" u="none" strike="noStrike">
              <a:solidFill>
                <a:schemeClr val="accent1">
                  <a:lumMod val="75000"/>
                </a:schemeClr>
              </a:solidFill>
              <a:latin typeface="Cambria" panose="02040503050406030204" pitchFamily="18" charset="0"/>
              <a:ea typeface="Cambria" panose="02040503050406030204" pitchFamily="18" charset="0"/>
              <a:cs typeface="Segoe UI" panose="020B0502040204020203" pitchFamily="34" charset="0"/>
            </a:rPr>
            <a:pPr marL="0" indent="0" algn="l"/>
            <a:t>10 Fac.</a:t>
          </a:fld>
          <a:endParaRPr lang="en-US" sz="800" b="1" i="0" u="none" strike="noStrike">
            <a:solidFill>
              <a:schemeClr val="accent1">
                <a:lumMod val="75000"/>
              </a:schemeClr>
            </a:solidFill>
            <a:latin typeface="Cambria" panose="02040503050406030204" pitchFamily="18" charset="0"/>
            <a:ea typeface="Cambria" panose="02040503050406030204" pitchFamily="18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8</xdr:col>
      <xdr:colOff>233363</xdr:colOff>
      <xdr:row>3</xdr:row>
      <xdr:rowOff>128588</xdr:rowOff>
    </xdr:from>
    <xdr:to>
      <xdr:col>8</xdr:col>
      <xdr:colOff>828675</xdr:colOff>
      <xdr:row>4</xdr:row>
      <xdr:rowOff>164306</xdr:rowOff>
    </xdr:to>
    <xdr:sp macro="" textlink="Calculs!$C$17">
      <xdr:nvSpPr>
        <xdr:cNvPr id="44" name="Rectangle 43"/>
        <xdr:cNvSpPr/>
      </xdr:nvSpPr>
      <xdr:spPr>
        <a:xfrm>
          <a:off x="10853738" y="700088"/>
          <a:ext cx="595312" cy="226218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fld id="{E5C57ECA-1B61-4A80-994F-C418F9BBF051}" type="TxLink">
            <a:rPr lang="en-US" sz="800" b="1" i="0" u="none" strike="noStrike">
              <a:solidFill>
                <a:schemeClr val="accent1">
                  <a:lumMod val="75000"/>
                </a:schemeClr>
              </a:solidFill>
              <a:latin typeface="Cambria" panose="02040503050406030204" pitchFamily="18" charset="0"/>
              <a:ea typeface="Cambria" panose="02040503050406030204" pitchFamily="18" charset="0"/>
              <a:cs typeface="Segoe UI" panose="020B0502040204020203" pitchFamily="34" charset="0"/>
            </a:rPr>
            <a:pPr marL="0" indent="0" algn="l"/>
            <a:t>73 Fac.</a:t>
          </a:fld>
          <a:endParaRPr lang="en-US" sz="800" b="1" i="0" u="none" strike="noStrike">
            <a:solidFill>
              <a:schemeClr val="accent1">
                <a:lumMod val="75000"/>
              </a:schemeClr>
            </a:solidFill>
            <a:latin typeface="Cambria" panose="02040503050406030204" pitchFamily="18" charset="0"/>
            <a:ea typeface="Cambria" panose="02040503050406030204" pitchFamily="18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2</xdr:col>
      <xdr:colOff>176894</xdr:colOff>
      <xdr:row>7</xdr:row>
      <xdr:rowOff>95250</xdr:rowOff>
    </xdr:from>
    <xdr:to>
      <xdr:col>5</xdr:col>
      <xdr:colOff>666751</xdr:colOff>
      <xdr:row>17</xdr:row>
      <xdr:rowOff>81643</xdr:rowOff>
    </xdr:to>
    <xdr:graphicFrame macro="">
      <xdr:nvGraphicFramePr>
        <xdr:cNvPr id="45" name="Graphique 4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328450</xdr:colOff>
      <xdr:row>21</xdr:row>
      <xdr:rowOff>37361</xdr:rowOff>
    </xdr:from>
    <xdr:to>
      <xdr:col>3</xdr:col>
      <xdr:colOff>114622</xdr:colOff>
      <xdr:row>22</xdr:row>
      <xdr:rowOff>98861</xdr:rowOff>
    </xdr:to>
    <xdr:sp macro="" textlink="">
      <xdr:nvSpPr>
        <xdr:cNvPr id="78" name="ZoneTexte 77"/>
        <xdr:cNvSpPr txBox="1"/>
      </xdr:nvSpPr>
      <xdr:spPr>
        <a:xfrm>
          <a:off x="1799898" y="4228361"/>
          <a:ext cx="1008000" cy="252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chemeClr val="bg1">
                  <a:lumMod val="50000"/>
                </a:schemeClr>
              </a:solidFill>
              <a:latin typeface="Cambria" panose="02040503050406030204" pitchFamily="18" charset="0"/>
              <a:ea typeface="Cambria" panose="02040503050406030204" pitchFamily="18" charset="0"/>
              <a:cs typeface="Segoe UI" panose="020B0502040204020203" pitchFamily="34" charset="0"/>
            </a:rPr>
            <a:t>N°Facture</a:t>
          </a:r>
        </a:p>
      </xdr:txBody>
    </xdr:sp>
    <xdr:clientData/>
  </xdr:twoCellAnchor>
  <xdr:twoCellAnchor>
    <xdr:from>
      <xdr:col>3</xdr:col>
      <xdr:colOff>230168</xdr:colOff>
      <xdr:row>21</xdr:row>
      <xdr:rowOff>29561</xdr:rowOff>
    </xdr:from>
    <xdr:to>
      <xdr:col>3</xdr:col>
      <xdr:colOff>1482514</xdr:colOff>
      <xdr:row>22</xdr:row>
      <xdr:rowOff>91061</xdr:rowOff>
    </xdr:to>
    <xdr:sp macro="" textlink="">
      <xdr:nvSpPr>
        <xdr:cNvPr id="79" name="ZoneTexte 78"/>
        <xdr:cNvSpPr txBox="1"/>
      </xdr:nvSpPr>
      <xdr:spPr>
        <a:xfrm>
          <a:off x="2923444" y="4220561"/>
          <a:ext cx="1252346" cy="252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chemeClr val="bg1">
                  <a:lumMod val="50000"/>
                </a:schemeClr>
              </a:solidFill>
              <a:latin typeface="Cambria" panose="02040503050406030204" pitchFamily="18" charset="0"/>
              <a:ea typeface="Cambria" panose="02040503050406030204" pitchFamily="18" charset="0"/>
              <a:cs typeface="Segoe UI" panose="020B0502040204020203" pitchFamily="34" charset="0"/>
            </a:rPr>
            <a:t>Fournisseurs</a:t>
          </a:r>
        </a:p>
      </xdr:txBody>
    </xdr:sp>
    <xdr:clientData/>
  </xdr:twoCellAnchor>
  <xdr:twoCellAnchor>
    <xdr:from>
      <xdr:col>4</xdr:col>
      <xdr:colOff>100336</xdr:colOff>
      <xdr:row>21</xdr:row>
      <xdr:rowOff>41467</xdr:rowOff>
    </xdr:from>
    <xdr:to>
      <xdr:col>4</xdr:col>
      <xdr:colOff>1108336</xdr:colOff>
      <xdr:row>22</xdr:row>
      <xdr:rowOff>102967</xdr:rowOff>
    </xdr:to>
    <xdr:sp macro="" textlink="">
      <xdr:nvSpPr>
        <xdr:cNvPr id="80" name="ZoneTexte 79"/>
        <xdr:cNvSpPr txBox="1"/>
      </xdr:nvSpPr>
      <xdr:spPr>
        <a:xfrm>
          <a:off x="4291336" y="4232467"/>
          <a:ext cx="1008000" cy="252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chemeClr val="bg1">
                  <a:lumMod val="50000"/>
                </a:schemeClr>
              </a:solidFill>
              <a:latin typeface="Cambria" panose="02040503050406030204" pitchFamily="18" charset="0"/>
              <a:ea typeface="Cambria" panose="02040503050406030204" pitchFamily="18" charset="0"/>
              <a:cs typeface="Segoe UI" panose="020B0502040204020203" pitchFamily="34" charset="0"/>
            </a:rPr>
            <a:t>Retard</a:t>
          </a:r>
        </a:p>
      </xdr:txBody>
    </xdr:sp>
    <xdr:clientData/>
  </xdr:twoCellAnchor>
  <xdr:twoCellAnchor>
    <xdr:from>
      <xdr:col>4</xdr:col>
      <xdr:colOff>1223881</xdr:colOff>
      <xdr:row>21</xdr:row>
      <xdr:rowOff>45575</xdr:rowOff>
    </xdr:from>
    <xdr:to>
      <xdr:col>5</xdr:col>
      <xdr:colOff>538655</xdr:colOff>
      <xdr:row>22</xdr:row>
      <xdr:rowOff>107075</xdr:rowOff>
    </xdr:to>
    <xdr:sp macro="" textlink="">
      <xdr:nvSpPr>
        <xdr:cNvPr id="81" name="ZoneTexte 80"/>
        <xdr:cNvSpPr txBox="1"/>
      </xdr:nvSpPr>
      <xdr:spPr>
        <a:xfrm>
          <a:off x="5414881" y="4236575"/>
          <a:ext cx="641705" cy="252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chemeClr val="bg1">
                  <a:lumMod val="50000"/>
                </a:schemeClr>
              </a:solidFill>
              <a:latin typeface="Cambria" panose="02040503050406030204" pitchFamily="18" charset="0"/>
              <a:ea typeface="Cambria" panose="02040503050406030204" pitchFamily="18" charset="0"/>
              <a:cs typeface="Segoe UI" panose="020B0502040204020203" pitchFamily="34" charset="0"/>
            </a:rPr>
            <a:t>Solde</a:t>
          </a:r>
        </a:p>
      </xdr:txBody>
    </xdr:sp>
    <xdr:clientData/>
  </xdr:twoCellAnchor>
  <xdr:twoCellAnchor>
    <xdr:from>
      <xdr:col>2</xdr:col>
      <xdr:colOff>376814</xdr:colOff>
      <xdr:row>22</xdr:row>
      <xdr:rowOff>111671</xdr:rowOff>
    </xdr:from>
    <xdr:to>
      <xdr:col>2</xdr:col>
      <xdr:colOff>1096814</xdr:colOff>
      <xdr:row>23</xdr:row>
      <xdr:rowOff>137171</xdr:rowOff>
    </xdr:to>
    <xdr:sp macro="" textlink="Calculs!E36">
      <xdr:nvSpPr>
        <xdr:cNvPr id="82" name="ZoneTexte 81"/>
        <xdr:cNvSpPr txBox="1"/>
      </xdr:nvSpPr>
      <xdr:spPr>
        <a:xfrm>
          <a:off x="1848262" y="4493171"/>
          <a:ext cx="720000" cy="21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8AA7698-0E0F-4168-8895-00F6251F1614}" type="TxLink">
            <a:rPr lang="en-US" sz="600" b="1" i="0" u="none" strike="noStrike">
              <a:solidFill>
                <a:sysClr val="windowText" lastClr="000000"/>
              </a:solidFill>
              <a:latin typeface="Segoe UI" panose="020B0502040204020203" pitchFamily="34" charset="0"/>
              <a:ea typeface="Cambria" panose="02040503050406030204" pitchFamily="18" charset="0"/>
              <a:cs typeface="Segoe UI" panose="020B0502040204020203" pitchFamily="34" charset="0"/>
            </a:rPr>
            <a:pPr/>
            <a:t>2,0001E+11</a:t>
          </a:fld>
          <a:endParaRPr lang="en-US" sz="600" b="1">
            <a:solidFill>
              <a:sysClr val="windowText" lastClr="000000"/>
            </a:solidFill>
            <a:latin typeface="Segoe UI" panose="020B0502040204020203" pitchFamily="34" charset="0"/>
            <a:ea typeface="Cambria" panose="02040503050406030204" pitchFamily="18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3</xdr:col>
      <xdr:colOff>126124</xdr:colOff>
      <xdr:row>22</xdr:row>
      <xdr:rowOff>118240</xdr:rowOff>
    </xdr:from>
    <xdr:to>
      <xdr:col>3</xdr:col>
      <xdr:colOff>1422124</xdr:colOff>
      <xdr:row>23</xdr:row>
      <xdr:rowOff>143740</xdr:rowOff>
    </xdr:to>
    <xdr:sp macro="" textlink="Calculs!F36">
      <xdr:nvSpPr>
        <xdr:cNvPr id="83" name="ZoneTexte 82"/>
        <xdr:cNvSpPr txBox="1"/>
      </xdr:nvSpPr>
      <xdr:spPr>
        <a:xfrm>
          <a:off x="2819400" y="4499740"/>
          <a:ext cx="1296000" cy="21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D38C328-5CC8-485C-BCC1-3DBCEF570851}" type="TxLink">
            <a:rPr lang="en-US" sz="700" b="1" i="0" u="none" strike="noStrike">
              <a:solidFill>
                <a:srgbClr val="000000"/>
              </a:solidFill>
              <a:latin typeface="Segoe UI" panose="020B0502040204020203" pitchFamily="34" charset="0"/>
              <a:ea typeface="Cambria" panose="02040503050406030204" pitchFamily="18" charset="0"/>
              <a:cs typeface="Segoe UI" panose="020B0502040204020203" pitchFamily="34" charset="0"/>
            </a:rPr>
            <a:pPr/>
            <a:t>MAERSK COTE D IVOIRE</a:t>
          </a:fld>
          <a:endParaRPr lang="en-US" sz="700" b="1">
            <a:solidFill>
              <a:schemeClr val="bg1">
                <a:lumMod val="50000"/>
              </a:schemeClr>
            </a:solidFill>
            <a:latin typeface="Segoe UI" panose="020B0502040204020203" pitchFamily="34" charset="0"/>
            <a:ea typeface="Cambria" panose="02040503050406030204" pitchFamily="18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4</xdr:col>
      <xdr:colOff>1025581</xdr:colOff>
      <xdr:row>22</xdr:row>
      <xdr:rowOff>130971</xdr:rowOff>
    </xdr:from>
    <xdr:to>
      <xdr:col>5</xdr:col>
      <xdr:colOff>598650</xdr:colOff>
      <xdr:row>23</xdr:row>
      <xdr:rowOff>156471</xdr:rowOff>
    </xdr:to>
    <xdr:sp macro="" textlink="Calculs!G36">
      <xdr:nvSpPr>
        <xdr:cNvPr id="85" name="ZoneTexte 84"/>
        <xdr:cNvSpPr txBox="1"/>
      </xdr:nvSpPr>
      <xdr:spPr>
        <a:xfrm>
          <a:off x="5216581" y="4512471"/>
          <a:ext cx="900000" cy="21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19354504-EDFB-486F-9BD0-E5D8C11A700E}" type="TxLink">
            <a:rPr lang="en-US" sz="800" b="1" i="0" u="none" strike="noStrike">
              <a:solidFill>
                <a:srgbClr val="000000"/>
              </a:solidFill>
              <a:latin typeface="Segoe UI" panose="020B0502040204020203" pitchFamily="34" charset="0"/>
              <a:ea typeface="Cambria" panose="02040503050406030204" pitchFamily="18" charset="0"/>
              <a:cs typeface="Segoe UI" panose="020B0502040204020203" pitchFamily="34" charset="0"/>
            </a:rPr>
            <a:pPr marL="0" indent="0" algn="ctr"/>
            <a:t>1003000</a:t>
          </a:fld>
          <a:endParaRPr lang="en-US" sz="800" b="1" i="0" u="none" strike="noStrike">
            <a:solidFill>
              <a:srgbClr val="000000"/>
            </a:solidFill>
            <a:latin typeface="Segoe UI" panose="020B0502040204020203" pitchFamily="34" charset="0"/>
            <a:ea typeface="Cambria" panose="02040503050406030204" pitchFamily="18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2</xdr:col>
      <xdr:colOff>383956</xdr:colOff>
      <xdr:row>24</xdr:row>
      <xdr:rowOff>29005</xdr:rowOff>
    </xdr:from>
    <xdr:to>
      <xdr:col>2</xdr:col>
      <xdr:colOff>1103956</xdr:colOff>
      <xdr:row>25</xdr:row>
      <xdr:rowOff>54505</xdr:rowOff>
    </xdr:to>
    <xdr:sp macro="" textlink="Calculs!E37">
      <xdr:nvSpPr>
        <xdr:cNvPr id="86" name="ZoneTexte 85"/>
        <xdr:cNvSpPr txBox="1"/>
      </xdr:nvSpPr>
      <xdr:spPr>
        <a:xfrm>
          <a:off x="1855404" y="4791505"/>
          <a:ext cx="720000" cy="21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256BA768-A8F5-45DA-B078-6AA85366271A}" type="TxLink">
            <a:rPr lang="en-US" sz="600" b="1" i="0" u="none" strike="noStrike">
              <a:solidFill>
                <a:sysClr val="windowText" lastClr="000000"/>
              </a:solidFill>
              <a:latin typeface="Segoe UI" panose="020B0502040204020203" pitchFamily="34" charset="0"/>
              <a:ea typeface="Cambria" panose="02040503050406030204" pitchFamily="18" charset="0"/>
              <a:cs typeface="Segoe UI" panose="020B0502040204020203" pitchFamily="34" charset="0"/>
            </a:rPr>
            <a:pPr marL="0" indent="0"/>
            <a:t>246660281</a:t>
          </a:fld>
          <a:endParaRPr lang="en-US" sz="600" b="1" i="0" u="none" strike="noStrike">
            <a:solidFill>
              <a:sysClr val="windowText" lastClr="000000"/>
            </a:solidFill>
            <a:latin typeface="Segoe UI" panose="020B0502040204020203" pitchFamily="34" charset="0"/>
            <a:ea typeface="Cambria" panose="02040503050406030204" pitchFamily="18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3</xdr:col>
      <xdr:colOff>124318</xdr:colOff>
      <xdr:row>24</xdr:row>
      <xdr:rowOff>29366</xdr:rowOff>
    </xdr:from>
    <xdr:to>
      <xdr:col>3</xdr:col>
      <xdr:colOff>1420318</xdr:colOff>
      <xdr:row>25</xdr:row>
      <xdr:rowOff>54866</xdr:rowOff>
    </xdr:to>
    <xdr:sp macro="" textlink="Calculs!F37">
      <xdr:nvSpPr>
        <xdr:cNvPr id="87" name="ZoneTexte 86"/>
        <xdr:cNvSpPr txBox="1"/>
      </xdr:nvSpPr>
      <xdr:spPr>
        <a:xfrm>
          <a:off x="2817594" y="4791866"/>
          <a:ext cx="1296000" cy="21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32720373-BAFF-445F-A5AB-F99CFFAC111C}" type="TxLink">
            <a:rPr lang="en-US" sz="700" b="1" i="0" u="none" strike="noStrike">
              <a:solidFill>
                <a:srgbClr val="000000"/>
              </a:solidFill>
              <a:latin typeface="Segoe UI" panose="020B0502040204020203" pitchFamily="34" charset="0"/>
              <a:ea typeface="Cambria" panose="02040503050406030204" pitchFamily="18" charset="0"/>
              <a:cs typeface="Segoe UI" panose="020B0502040204020203" pitchFamily="34" charset="0"/>
            </a:rPr>
            <a:pPr marL="0" indent="0"/>
            <a:t>MAERSK COTE D IVOIRE</a:t>
          </a:fld>
          <a:endParaRPr lang="en-US" sz="700" b="1" i="0" u="none" strike="noStrike">
            <a:solidFill>
              <a:srgbClr val="000000"/>
            </a:solidFill>
            <a:latin typeface="Segoe UI" panose="020B0502040204020203" pitchFamily="34" charset="0"/>
            <a:ea typeface="Cambria" panose="02040503050406030204" pitchFamily="18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4</xdr:col>
      <xdr:colOff>1025579</xdr:colOff>
      <xdr:row>24</xdr:row>
      <xdr:rowOff>19380</xdr:rowOff>
    </xdr:from>
    <xdr:to>
      <xdr:col>5</xdr:col>
      <xdr:colOff>598648</xdr:colOff>
      <xdr:row>25</xdr:row>
      <xdr:rowOff>44880</xdr:rowOff>
    </xdr:to>
    <xdr:sp macro="" textlink="Calculs!G37">
      <xdr:nvSpPr>
        <xdr:cNvPr id="89" name="ZoneTexte 88"/>
        <xdr:cNvSpPr txBox="1"/>
      </xdr:nvSpPr>
      <xdr:spPr>
        <a:xfrm>
          <a:off x="5216579" y="4781880"/>
          <a:ext cx="900000" cy="21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8D010D48-5C12-43F8-9B76-D2E8E0C028DB}" type="TxLink">
            <a:rPr lang="en-US" sz="800" b="1" i="0" u="none" strike="noStrike">
              <a:solidFill>
                <a:srgbClr val="000000"/>
              </a:solidFill>
              <a:latin typeface="Segoe UI" panose="020B0502040204020203" pitchFamily="34" charset="0"/>
              <a:ea typeface="Cambria" panose="02040503050406030204" pitchFamily="18" charset="0"/>
              <a:cs typeface="Segoe UI" panose="020B0502040204020203" pitchFamily="34" charset="0"/>
            </a:rPr>
            <a:pPr marL="0" indent="0" algn="ctr"/>
            <a:t>911700</a:t>
          </a:fld>
          <a:endParaRPr lang="en-US" sz="800" b="1" i="0" u="none" strike="noStrike">
            <a:solidFill>
              <a:srgbClr val="000000"/>
            </a:solidFill>
            <a:latin typeface="Segoe UI" panose="020B0502040204020203" pitchFamily="34" charset="0"/>
            <a:ea typeface="Cambria" panose="02040503050406030204" pitchFamily="18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2</xdr:col>
      <xdr:colOff>378619</xdr:colOff>
      <xdr:row>25</xdr:row>
      <xdr:rowOff>136839</xdr:rowOff>
    </xdr:from>
    <xdr:to>
      <xdr:col>2</xdr:col>
      <xdr:colOff>1098619</xdr:colOff>
      <xdr:row>26</xdr:row>
      <xdr:rowOff>162339</xdr:rowOff>
    </xdr:to>
    <xdr:sp macro="" textlink="Calculs!E38">
      <xdr:nvSpPr>
        <xdr:cNvPr id="90" name="ZoneTexte 89"/>
        <xdr:cNvSpPr txBox="1"/>
      </xdr:nvSpPr>
      <xdr:spPr>
        <a:xfrm>
          <a:off x="1850067" y="5089839"/>
          <a:ext cx="720000" cy="21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BFB6A314-62E7-4D6A-B82A-D7A775567524}" type="TxLink">
            <a:rPr lang="en-US" sz="600" b="1" i="0" u="none" strike="noStrike">
              <a:solidFill>
                <a:sysClr val="windowText" lastClr="000000"/>
              </a:solidFill>
              <a:latin typeface="Segoe UI" panose="020B0502040204020203" pitchFamily="34" charset="0"/>
              <a:ea typeface="Cambria" panose="02040503050406030204" pitchFamily="18" charset="0"/>
              <a:cs typeface="Segoe UI" panose="020B0502040204020203" pitchFamily="34" charset="0"/>
            </a:rPr>
            <a:pPr marL="0" indent="0"/>
            <a:t>7613846851</a:t>
          </a:fld>
          <a:endParaRPr lang="en-US" sz="600" b="1" i="0" u="none" strike="noStrike">
            <a:solidFill>
              <a:sysClr val="windowText" lastClr="000000"/>
            </a:solidFill>
            <a:latin typeface="Segoe UI" panose="020B0502040204020203" pitchFamily="34" charset="0"/>
            <a:ea typeface="Cambria" panose="02040503050406030204" pitchFamily="18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3</xdr:col>
      <xdr:colOff>131379</xdr:colOff>
      <xdr:row>25</xdr:row>
      <xdr:rowOff>130992</xdr:rowOff>
    </xdr:from>
    <xdr:to>
      <xdr:col>3</xdr:col>
      <xdr:colOff>1427379</xdr:colOff>
      <xdr:row>26</xdr:row>
      <xdr:rowOff>156492</xdr:rowOff>
    </xdr:to>
    <xdr:sp macro="" textlink="Calculs!F38">
      <xdr:nvSpPr>
        <xdr:cNvPr id="91" name="ZoneTexte 90"/>
        <xdr:cNvSpPr txBox="1"/>
      </xdr:nvSpPr>
      <xdr:spPr>
        <a:xfrm>
          <a:off x="2824655" y="5083992"/>
          <a:ext cx="1296000" cy="21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E35FDD53-B4B2-4F00-9BC7-0E053825C1C3}" type="TxLink">
            <a:rPr lang="en-US" sz="700" b="1" i="0" u="none" strike="noStrike">
              <a:solidFill>
                <a:srgbClr val="000000"/>
              </a:solidFill>
              <a:latin typeface="Segoe UI" panose="020B0502040204020203" pitchFamily="34" charset="0"/>
              <a:ea typeface="Cambria" panose="02040503050406030204" pitchFamily="18" charset="0"/>
              <a:cs typeface="Segoe UI" panose="020B0502040204020203" pitchFamily="34" charset="0"/>
            </a:rPr>
            <a:pPr marL="0" indent="0"/>
            <a:t>MAERSK COTE D IVOIRE</a:t>
          </a:fld>
          <a:endParaRPr lang="en-US" sz="700" b="1" i="0" u="none" strike="noStrike">
            <a:solidFill>
              <a:srgbClr val="000000"/>
            </a:solidFill>
            <a:latin typeface="Segoe UI" panose="020B0502040204020203" pitchFamily="34" charset="0"/>
            <a:ea typeface="Cambria" panose="02040503050406030204" pitchFamily="18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4</xdr:col>
      <xdr:colOff>1022622</xdr:colOff>
      <xdr:row>25</xdr:row>
      <xdr:rowOff>104856</xdr:rowOff>
    </xdr:from>
    <xdr:to>
      <xdr:col>5</xdr:col>
      <xdr:colOff>595691</xdr:colOff>
      <xdr:row>26</xdr:row>
      <xdr:rowOff>130356</xdr:rowOff>
    </xdr:to>
    <xdr:sp macro="" textlink="Calculs!G38">
      <xdr:nvSpPr>
        <xdr:cNvPr id="93" name="ZoneTexte 92"/>
        <xdr:cNvSpPr txBox="1"/>
      </xdr:nvSpPr>
      <xdr:spPr>
        <a:xfrm>
          <a:off x="5213622" y="5057856"/>
          <a:ext cx="900000" cy="21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8799090F-F46E-4D44-96E6-C0D9B77D0B58}" type="TxLink">
            <a:rPr lang="en-US" sz="800" b="1" i="0" u="none" strike="noStrike">
              <a:solidFill>
                <a:srgbClr val="000000"/>
              </a:solidFill>
              <a:latin typeface="Segoe UI" panose="020B0502040204020203" pitchFamily="34" charset="0"/>
              <a:ea typeface="Cambria" panose="02040503050406030204" pitchFamily="18" charset="0"/>
              <a:cs typeface="Segoe UI" panose="020B0502040204020203" pitchFamily="34" charset="0"/>
            </a:rPr>
            <a:pPr marL="0" indent="0" algn="ctr"/>
            <a:t>354000</a:t>
          </a:fld>
          <a:endParaRPr lang="en-US" sz="800" b="1" i="0" u="none" strike="noStrike">
            <a:solidFill>
              <a:srgbClr val="000000"/>
            </a:solidFill>
            <a:latin typeface="Segoe UI" panose="020B0502040204020203" pitchFamily="34" charset="0"/>
            <a:ea typeface="Cambria" panose="02040503050406030204" pitchFamily="18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2</xdr:col>
      <xdr:colOff>376237</xdr:colOff>
      <xdr:row>27</xdr:row>
      <xdr:rowOff>54173</xdr:rowOff>
    </xdr:from>
    <xdr:to>
      <xdr:col>2</xdr:col>
      <xdr:colOff>1096237</xdr:colOff>
      <xdr:row>28</xdr:row>
      <xdr:rowOff>79673</xdr:rowOff>
    </xdr:to>
    <xdr:sp macro="" textlink="Calculs!E39">
      <xdr:nvSpPr>
        <xdr:cNvPr id="94" name="ZoneTexte 93"/>
        <xdr:cNvSpPr txBox="1"/>
      </xdr:nvSpPr>
      <xdr:spPr>
        <a:xfrm>
          <a:off x="1847685" y="5388173"/>
          <a:ext cx="720000" cy="21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934C6301-FBE1-40C7-A0B7-1EF08D09920C}" type="TxLink">
            <a:rPr lang="en-US" sz="600" b="1" i="0" u="none" strike="noStrike">
              <a:solidFill>
                <a:sysClr val="windowText" lastClr="000000"/>
              </a:solidFill>
              <a:latin typeface="Segoe UI" panose="020B0502040204020203" pitchFamily="34" charset="0"/>
              <a:ea typeface="Cambria" panose="02040503050406030204" pitchFamily="18" charset="0"/>
              <a:cs typeface="Segoe UI" panose="020B0502040204020203" pitchFamily="34" charset="0"/>
            </a:rPr>
            <a:pPr marL="0" indent="0"/>
            <a:t>7613845227</a:t>
          </a:fld>
          <a:endParaRPr lang="en-US" sz="600" b="1" i="0" u="none" strike="noStrike">
            <a:solidFill>
              <a:sysClr val="windowText" lastClr="000000"/>
            </a:solidFill>
            <a:latin typeface="Segoe UI" panose="020B0502040204020203" pitchFamily="34" charset="0"/>
            <a:ea typeface="Cambria" panose="02040503050406030204" pitchFamily="18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3</xdr:col>
      <xdr:colOff>126454</xdr:colOff>
      <xdr:row>27</xdr:row>
      <xdr:rowOff>42118</xdr:rowOff>
    </xdr:from>
    <xdr:to>
      <xdr:col>3</xdr:col>
      <xdr:colOff>1422454</xdr:colOff>
      <xdr:row>28</xdr:row>
      <xdr:rowOff>67618</xdr:rowOff>
    </xdr:to>
    <xdr:sp macro="" textlink="Calculs!F39">
      <xdr:nvSpPr>
        <xdr:cNvPr id="95" name="ZoneTexte 94"/>
        <xdr:cNvSpPr txBox="1"/>
      </xdr:nvSpPr>
      <xdr:spPr>
        <a:xfrm>
          <a:off x="2819730" y="5376118"/>
          <a:ext cx="1296000" cy="21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2A47BA79-E9BB-463C-A7E3-143624262E90}" type="TxLink">
            <a:rPr lang="en-US" sz="700" b="1" i="0" u="none" strike="noStrike">
              <a:solidFill>
                <a:srgbClr val="000000"/>
              </a:solidFill>
              <a:latin typeface="Segoe UI" panose="020B0502040204020203" pitchFamily="34" charset="0"/>
              <a:ea typeface="Cambria" panose="02040503050406030204" pitchFamily="18" charset="0"/>
              <a:cs typeface="Segoe UI" panose="020B0502040204020203" pitchFamily="34" charset="0"/>
            </a:rPr>
            <a:pPr marL="0" indent="0"/>
            <a:t>MAERSK COTE D IVOIRE</a:t>
          </a:fld>
          <a:endParaRPr lang="en-US" sz="700" b="1" i="0" u="none" strike="noStrike">
            <a:solidFill>
              <a:srgbClr val="000000"/>
            </a:solidFill>
            <a:latin typeface="Segoe UI" panose="020B0502040204020203" pitchFamily="34" charset="0"/>
            <a:ea typeface="Cambria" panose="02040503050406030204" pitchFamily="18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4</xdr:col>
      <xdr:colOff>1016943</xdr:colOff>
      <xdr:row>27</xdr:row>
      <xdr:rowOff>26110</xdr:rowOff>
    </xdr:from>
    <xdr:to>
      <xdr:col>5</xdr:col>
      <xdr:colOff>590012</xdr:colOff>
      <xdr:row>28</xdr:row>
      <xdr:rowOff>51610</xdr:rowOff>
    </xdr:to>
    <xdr:sp macro="" textlink="Calculs!G39">
      <xdr:nvSpPr>
        <xdr:cNvPr id="97" name="ZoneTexte 96"/>
        <xdr:cNvSpPr txBox="1"/>
      </xdr:nvSpPr>
      <xdr:spPr>
        <a:xfrm>
          <a:off x="5207943" y="5360110"/>
          <a:ext cx="900000" cy="21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F109C9C9-9DC9-48D3-879C-4D5E8E0A26AF}" type="TxLink">
            <a:rPr lang="en-US" sz="800" b="1" i="0" u="none" strike="noStrike">
              <a:solidFill>
                <a:srgbClr val="000000"/>
              </a:solidFill>
              <a:latin typeface="Segoe UI" panose="020B0502040204020203" pitchFamily="34" charset="0"/>
              <a:ea typeface="Cambria" panose="02040503050406030204" pitchFamily="18" charset="0"/>
              <a:cs typeface="Segoe UI" panose="020B0502040204020203" pitchFamily="34" charset="0"/>
            </a:rPr>
            <a:pPr marL="0" indent="0" algn="ctr"/>
            <a:t>295000</a:t>
          </a:fld>
          <a:endParaRPr lang="en-US" sz="800" b="1" i="0" u="none" strike="noStrike">
            <a:solidFill>
              <a:srgbClr val="000000"/>
            </a:solidFill>
            <a:latin typeface="Segoe UI" panose="020B0502040204020203" pitchFamily="34" charset="0"/>
            <a:ea typeface="Cambria" panose="02040503050406030204" pitchFamily="18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2</xdr:col>
      <xdr:colOff>378701</xdr:colOff>
      <xdr:row>28</xdr:row>
      <xdr:rowOff>162008</xdr:rowOff>
    </xdr:from>
    <xdr:to>
      <xdr:col>2</xdr:col>
      <xdr:colOff>1098701</xdr:colOff>
      <xdr:row>29</xdr:row>
      <xdr:rowOff>187508</xdr:rowOff>
    </xdr:to>
    <xdr:sp macro="" textlink="Calculs!E40">
      <xdr:nvSpPr>
        <xdr:cNvPr id="98" name="ZoneTexte 97"/>
        <xdr:cNvSpPr txBox="1"/>
      </xdr:nvSpPr>
      <xdr:spPr>
        <a:xfrm>
          <a:off x="1850149" y="5686508"/>
          <a:ext cx="720000" cy="21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BD7476E3-ECC2-4782-9CE0-EDFEA93F5281}" type="TxLink">
            <a:rPr lang="en-US" sz="600" b="1" i="0" u="none" strike="noStrike">
              <a:solidFill>
                <a:sysClr val="windowText" lastClr="000000"/>
              </a:solidFill>
              <a:latin typeface="Segoe UI" panose="020B0502040204020203" pitchFamily="34" charset="0"/>
              <a:ea typeface="Cambria" panose="02040503050406030204" pitchFamily="18" charset="0"/>
              <a:cs typeface="Segoe UI" panose="020B0502040204020203" pitchFamily="34" charset="0"/>
            </a:rPr>
            <a:pPr marL="0" indent="0"/>
            <a:t>7613846689</a:t>
          </a:fld>
          <a:endParaRPr lang="en-US" sz="600" b="1" i="0" u="none" strike="noStrike">
            <a:solidFill>
              <a:sysClr val="windowText" lastClr="000000"/>
            </a:solidFill>
            <a:latin typeface="Segoe UI" panose="020B0502040204020203" pitchFamily="34" charset="0"/>
            <a:ea typeface="Cambria" panose="02040503050406030204" pitchFamily="18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3</xdr:col>
      <xdr:colOff>120705</xdr:colOff>
      <xdr:row>28</xdr:row>
      <xdr:rowOff>143744</xdr:rowOff>
    </xdr:from>
    <xdr:to>
      <xdr:col>3</xdr:col>
      <xdr:colOff>1416705</xdr:colOff>
      <xdr:row>29</xdr:row>
      <xdr:rowOff>169244</xdr:rowOff>
    </xdr:to>
    <xdr:sp macro="" textlink="Calculs!F40">
      <xdr:nvSpPr>
        <xdr:cNvPr id="99" name="ZoneTexte 98"/>
        <xdr:cNvSpPr txBox="1"/>
      </xdr:nvSpPr>
      <xdr:spPr>
        <a:xfrm>
          <a:off x="2813981" y="5668244"/>
          <a:ext cx="1296000" cy="21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B5D3F9A3-2EF0-4DAF-8C7F-0DFBE0788323}" type="TxLink">
            <a:rPr lang="en-US" sz="700" b="1" i="0" u="none" strike="noStrike">
              <a:solidFill>
                <a:srgbClr val="000000"/>
              </a:solidFill>
              <a:latin typeface="Segoe UI" panose="020B0502040204020203" pitchFamily="34" charset="0"/>
              <a:ea typeface="Cambria" panose="02040503050406030204" pitchFamily="18" charset="0"/>
              <a:cs typeface="Segoe UI" panose="020B0502040204020203" pitchFamily="34" charset="0"/>
            </a:rPr>
            <a:pPr marL="0" indent="0"/>
            <a:t>MAERSK COTE D IVOIRE</a:t>
          </a:fld>
          <a:endParaRPr lang="en-US" sz="700" b="1" i="0" u="none" strike="noStrike">
            <a:solidFill>
              <a:srgbClr val="000000"/>
            </a:solidFill>
            <a:latin typeface="Segoe UI" panose="020B0502040204020203" pitchFamily="34" charset="0"/>
            <a:ea typeface="Cambria" panose="02040503050406030204" pitchFamily="18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4</xdr:col>
      <xdr:colOff>183931</xdr:colOff>
      <xdr:row>22</xdr:row>
      <xdr:rowOff>132694</xdr:rowOff>
    </xdr:from>
    <xdr:to>
      <xdr:col>4</xdr:col>
      <xdr:colOff>579931</xdr:colOff>
      <xdr:row>23</xdr:row>
      <xdr:rowOff>158194</xdr:rowOff>
    </xdr:to>
    <xdr:sp macro="" textlink="Calculs!B36">
      <xdr:nvSpPr>
        <xdr:cNvPr id="84" name="ZoneTexte 83"/>
        <xdr:cNvSpPr txBox="1"/>
      </xdr:nvSpPr>
      <xdr:spPr>
        <a:xfrm>
          <a:off x="4374931" y="4514194"/>
          <a:ext cx="396000" cy="21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6ADBA5A-B080-49DB-BD84-68FCFAE8772E}" type="TxLink">
            <a:rPr lang="en-US" sz="800" b="1" i="0" u="none" strike="noStrike">
              <a:solidFill>
                <a:srgbClr val="FF0000"/>
              </a:solidFill>
              <a:latin typeface="Segoe UI" panose="020B0502040204020203" pitchFamily="34" charset="0"/>
              <a:ea typeface="Cambria" panose="02040503050406030204" pitchFamily="18" charset="0"/>
              <a:cs typeface="Segoe UI" panose="020B0502040204020203" pitchFamily="34" charset="0"/>
            </a:rPr>
            <a:pPr algn="ctr"/>
            <a:t>278</a:t>
          </a:fld>
          <a:endParaRPr lang="en-US" sz="800" b="1">
            <a:solidFill>
              <a:srgbClr val="FF0000"/>
            </a:solidFill>
            <a:latin typeface="Segoe UI" panose="020B0502040204020203" pitchFamily="34" charset="0"/>
            <a:ea typeface="Cambria" panose="02040503050406030204" pitchFamily="18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4</xdr:col>
      <xdr:colOff>183274</xdr:colOff>
      <xdr:row>24</xdr:row>
      <xdr:rowOff>33913</xdr:rowOff>
    </xdr:from>
    <xdr:to>
      <xdr:col>4</xdr:col>
      <xdr:colOff>579274</xdr:colOff>
      <xdr:row>25</xdr:row>
      <xdr:rowOff>59413</xdr:rowOff>
    </xdr:to>
    <xdr:sp macro="" textlink="Calculs!B37">
      <xdr:nvSpPr>
        <xdr:cNvPr id="88" name="ZoneTexte 87"/>
        <xdr:cNvSpPr txBox="1"/>
      </xdr:nvSpPr>
      <xdr:spPr>
        <a:xfrm>
          <a:off x="4374274" y="4796413"/>
          <a:ext cx="396000" cy="21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00AD1F34-8510-459A-8BDC-1E1E490056DB}" type="TxLink">
            <a:rPr lang="en-US" sz="800" b="1" i="0" u="none" strike="noStrike">
              <a:solidFill>
                <a:srgbClr val="FF0000"/>
              </a:solidFill>
              <a:latin typeface="Segoe UI" panose="020B0502040204020203" pitchFamily="34" charset="0"/>
              <a:ea typeface="Cambria" panose="02040503050406030204" pitchFamily="18" charset="0"/>
              <a:cs typeface="Segoe UI" panose="020B0502040204020203" pitchFamily="34" charset="0"/>
            </a:rPr>
            <a:pPr marL="0" indent="0" algn="ctr"/>
            <a:t>139</a:t>
          </a:fld>
          <a:endParaRPr lang="en-US" sz="800" b="1" i="0" u="none" strike="noStrike">
            <a:solidFill>
              <a:srgbClr val="FF0000"/>
            </a:solidFill>
            <a:latin typeface="Segoe UI" panose="020B0502040204020203" pitchFamily="34" charset="0"/>
            <a:ea typeface="Cambria" panose="02040503050406030204" pitchFamily="18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4</xdr:col>
      <xdr:colOff>175063</xdr:colOff>
      <xdr:row>25</xdr:row>
      <xdr:rowOff>125632</xdr:rowOff>
    </xdr:from>
    <xdr:to>
      <xdr:col>4</xdr:col>
      <xdr:colOff>571063</xdr:colOff>
      <xdr:row>26</xdr:row>
      <xdr:rowOff>151132</xdr:rowOff>
    </xdr:to>
    <xdr:sp macro="" textlink="Calculs!B38">
      <xdr:nvSpPr>
        <xdr:cNvPr id="92" name="ZoneTexte 91"/>
        <xdr:cNvSpPr txBox="1"/>
      </xdr:nvSpPr>
      <xdr:spPr>
        <a:xfrm>
          <a:off x="4366063" y="5078632"/>
          <a:ext cx="396000" cy="21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B2E1F96-DCE6-4060-92E4-9742AB7E0BF7}" type="TxLink">
            <a:rPr lang="en-US" sz="800" b="1" i="0" u="none" strike="noStrike">
              <a:solidFill>
                <a:srgbClr val="FF0000"/>
              </a:solidFill>
              <a:latin typeface="Segoe UI" panose="020B0502040204020203" pitchFamily="34" charset="0"/>
              <a:ea typeface="Cambria" panose="02040503050406030204" pitchFamily="18" charset="0"/>
              <a:cs typeface="Segoe UI" panose="020B0502040204020203" pitchFamily="34" charset="0"/>
            </a:rPr>
            <a:pPr algn="ctr"/>
            <a:t>139</a:t>
          </a:fld>
          <a:endParaRPr lang="en-US" sz="800" b="1">
            <a:solidFill>
              <a:srgbClr val="FF0000"/>
            </a:solidFill>
            <a:latin typeface="Segoe UI" panose="020B0502040204020203" pitchFamily="34" charset="0"/>
            <a:ea typeface="Cambria" panose="02040503050406030204" pitchFamily="18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4</xdr:col>
      <xdr:colOff>167836</xdr:colOff>
      <xdr:row>27</xdr:row>
      <xdr:rowOff>26850</xdr:rowOff>
    </xdr:from>
    <xdr:to>
      <xdr:col>4</xdr:col>
      <xdr:colOff>563836</xdr:colOff>
      <xdr:row>28</xdr:row>
      <xdr:rowOff>52350</xdr:rowOff>
    </xdr:to>
    <xdr:sp macro="" textlink="Calculs!B39">
      <xdr:nvSpPr>
        <xdr:cNvPr id="96" name="ZoneTexte 95"/>
        <xdr:cNvSpPr txBox="1"/>
      </xdr:nvSpPr>
      <xdr:spPr>
        <a:xfrm>
          <a:off x="4358836" y="5360850"/>
          <a:ext cx="396000" cy="21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B28509A-F2F0-4233-AB62-9D6FCEF1DE9A}" type="TxLink">
            <a:rPr lang="en-US" sz="800" b="1" i="0" u="none" strike="noStrike">
              <a:solidFill>
                <a:srgbClr val="FF0000"/>
              </a:solidFill>
              <a:latin typeface="Segoe UI" panose="020B0502040204020203" pitchFamily="34" charset="0"/>
              <a:ea typeface="Cambria" panose="02040503050406030204" pitchFamily="18" charset="0"/>
              <a:cs typeface="Segoe UI" panose="020B0502040204020203" pitchFamily="34" charset="0"/>
            </a:rPr>
            <a:pPr algn="ctr"/>
            <a:t>139</a:t>
          </a:fld>
          <a:endParaRPr lang="en-US" sz="800" b="1">
            <a:solidFill>
              <a:srgbClr val="FF0000"/>
            </a:solidFill>
            <a:latin typeface="Segoe UI" panose="020B0502040204020203" pitchFamily="34" charset="0"/>
            <a:ea typeface="Cambria" panose="02040503050406030204" pitchFamily="18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4</xdr:col>
      <xdr:colOff>168493</xdr:colOff>
      <xdr:row>28</xdr:row>
      <xdr:rowOff>118568</xdr:rowOff>
    </xdr:from>
    <xdr:to>
      <xdr:col>4</xdr:col>
      <xdr:colOff>564493</xdr:colOff>
      <xdr:row>29</xdr:row>
      <xdr:rowOff>144068</xdr:rowOff>
    </xdr:to>
    <xdr:sp macro="" textlink="Calculs!B40">
      <xdr:nvSpPr>
        <xdr:cNvPr id="100" name="ZoneTexte 99"/>
        <xdr:cNvSpPr txBox="1"/>
      </xdr:nvSpPr>
      <xdr:spPr>
        <a:xfrm>
          <a:off x="4359493" y="5643068"/>
          <a:ext cx="396000" cy="21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34D8ACE-C016-484B-9525-92E0A7FEEBD4}" type="TxLink">
            <a:rPr lang="en-US" sz="800" b="1" i="0" u="none" strike="noStrike">
              <a:solidFill>
                <a:srgbClr val="FF0000"/>
              </a:solidFill>
              <a:latin typeface="Segoe UI" panose="020B0502040204020203" pitchFamily="34" charset="0"/>
              <a:ea typeface="Cambria" panose="02040503050406030204" pitchFamily="18" charset="0"/>
              <a:cs typeface="Segoe UI" panose="020B0502040204020203" pitchFamily="34" charset="0"/>
            </a:rPr>
            <a:pPr algn="ctr"/>
            <a:t>139</a:t>
          </a:fld>
          <a:endParaRPr lang="en-US" sz="800" b="1">
            <a:solidFill>
              <a:srgbClr val="FF0000"/>
            </a:solidFill>
            <a:latin typeface="Segoe UI" panose="020B0502040204020203" pitchFamily="34" charset="0"/>
            <a:ea typeface="Cambria" panose="02040503050406030204" pitchFamily="18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4</xdr:col>
      <xdr:colOff>1014705</xdr:colOff>
      <xdr:row>28</xdr:row>
      <xdr:rowOff>137865</xdr:rowOff>
    </xdr:from>
    <xdr:to>
      <xdr:col>5</xdr:col>
      <xdr:colOff>587774</xdr:colOff>
      <xdr:row>29</xdr:row>
      <xdr:rowOff>163365</xdr:rowOff>
    </xdr:to>
    <xdr:sp macro="" textlink="Calculs!G40">
      <xdr:nvSpPr>
        <xdr:cNvPr id="101" name="ZoneTexte 100"/>
        <xdr:cNvSpPr txBox="1"/>
      </xdr:nvSpPr>
      <xdr:spPr>
        <a:xfrm>
          <a:off x="5205705" y="5662365"/>
          <a:ext cx="900000" cy="21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AF0C064-2AF4-4EF6-B24D-2830ABBD2454}" type="TxLink">
            <a:rPr lang="en-US" sz="800" b="1" i="0" u="none" strike="noStrike">
              <a:solidFill>
                <a:srgbClr val="000000"/>
              </a:solidFill>
              <a:latin typeface="Segoe UI" panose="020B0502040204020203" pitchFamily="34" charset="0"/>
              <a:ea typeface="Cambria" panose="02040503050406030204" pitchFamily="18" charset="0"/>
              <a:cs typeface="Segoe UI" panose="020B0502040204020203" pitchFamily="34" charset="0"/>
            </a:rPr>
            <a:pPr algn="ctr"/>
            <a:t>177000</a:t>
          </a:fld>
          <a:endParaRPr lang="en-US" sz="800" b="1">
            <a:solidFill>
              <a:schemeClr val="bg1">
                <a:lumMod val="50000"/>
              </a:schemeClr>
            </a:solidFill>
            <a:latin typeface="Segoe UI" panose="020B0502040204020203" pitchFamily="34" charset="0"/>
            <a:ea typeface="Cambria" panose="02040503050406030204" pitchFamily="18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5</xdr:col>
      <xdr:colOff>913379</xdr:colOff>
      <xdr:row>19</xdr:row>
      <xdr:rowOff>27214</xdr:rowOff>
    </xdr:from>
    <xdr:to>
      <xdr:col>8</xdr:col>
      <xdr:colOff>692262</xdr:colOff>
      <xdr:row>33</xdr:row>
      <xdr:rowOff>27214</xdr:rowOff>
    </xdr:to>
    <xdr:graphicFrame macro="">
      <xdr:nvGraphicFramePr>
        <xdr:cNvPr id="118" name="Graphique 1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345680</xdr:colOff>
      <xdr:row>19</xdr:row>
      <xdr:rowOff>61405</xdr:rowOff>
    </xdr:from>
    <xdr:to>
      <xdr:col>4</xdr:col>
      <xdr:colOff>326571</xdr:colOff>
      <xdr:row>20</xdr:row>
      <xdr:rowOff>95250</xdr:rowOff>
    </xdr:to>
    <xdr:sp macro="" textlink="">
      <xdr:nvSpPr>
        <xdr:cNvPr id="63" name="ZoneTexte 62"/>
        <xdr:cNvSpPr txBox="1"/>
      </xdr:nvSpPr>
      <xdr:spPr>
        <a:xfrm>
          <a:off x="1815251" y="3844191"/>
          <a:ext cx="2702320" cy="2243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1100" b="1">
              <a:solidFill>
                <a:sysClr val="windowText" lastClr="000000"/>
              </a:solidFill>
              <a:latin typeface="Cambria" panose="02040503050406030204" pitchFamily="18" charset="0"/>
              <a:ea typeface="Cambria" panose="02040503050406030204" pitchFamily="18" charset="0"/>
              <a:cs typeface="Segoe UI" panose="020B0502040204020203" pitchFamily="34" charset="0"/>
            </a:rPr>
            <a:t>Les</a:t>
          </a:r>
          <a:r>
            <a:rPr lang="en-US" sz="1100" b="1" baseline="0">
              <a:solidFill>
                <a:sysClr val="windowText" lastClr="000000"/>
              </a:solidFill>
              <a:latin typeface="Cambria" panose="02040503050406030204" pitchFamily="18" charset="0"/>
              <a:ea typeface="Cambria" panose="02040503050406030204" pitchFamily="18" charset="0"/>
              <a:cs typeface="Segoe UI" panose="020B0502040204020203" pitchFamily="34" charset="0"/>
            </a:rPr>
            <a:t> 5 plus anciennes factures échues</a:t>
          </a:r>
          <a:endParaRPr lang="en-US" sz="1100" b="1">
            <a:solidFill>
              <a:sysClr val="windowText" lastClr="000000"/>
            </a:solidFill>
            <a:latin typeface="Cambria" panose="02040503050406030204" pitchFamily="18" charset="0"/>
            <a:ea typeface="Cambria" panose="02040503050406030204" pitchFamily="18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8</xdr:col>
      <xdr:colOff>1021259</xdr:colOff>
      <xdr:row>21</xdr:row>
      <xdr:rowOff>2345</xdr:rowOff>
    </xdr:from>
    <xdr:to>
      <xdr:col>9</xdr:col>
      <xdr:colOff>663723</xdr:colOff>
      <xdr:row>22</xdr:row>
      <xdr:rowOff>63845</xdr:rowOff>
    </xdr:to>
    <xdr:sp macro="" textlink="">
      <xdr:nvSpPr>
        <xdr:cNvPr id="65" name="ZoneTexte 64"/>
        <xdr:cNvSpPr txBox="1"/>
      </xdr:nvSpPr>
      <xdr:spPr>
        <a:xfrm>
          <a:off x="10913652" y="4166131"/>
          <a:ext cx="1044000" cy="252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chemeClr val="bg1">
                  <a:lumMod val="50000"/>
                </a:schemeClr>
              </a:solidFill>
              <a:latin typeface="Cambria" panose="02040503050406030204" pitchFamily="18" charset="0"/>
              <a:ea typeface="Cambria" panose="02040503050406030204" pitchFamily="18" charset="0"/>
              <a:cs typeface="Segoe UI" panose="020B0502040204020203" pitchFamily="34" charset="0"/>
            </a:rPr>
            <a:t>Catégorie Frs</a:t>
          </a:r>
        </a:p>
      </xdr:txBody>
    </xdr:sp>
    <xdr:clientData/>
  </xdr:twoCellAnchor>
  <xdr:twoCellAnchor>
    <xdr:from>
      <xdr:col>8</xdr:col>
      <xdr:colOff>1023979</xdr:colOff>
      <xdr:row>23</xdr:row>
      <xdr:rowOff>51331</xdr:rowOff>
    </xdr:from>
    <xdr:to>
      <xdr:col>10</xdr:col>
      <xdr:colOff>362801</xdr:colOff>
      <xdr:row>25</xdr:row>
      <xdr:rowOff>27214</xdr:rowOff>
    </xdr:to>
    <xdr:sp macro="" textlink="Calculs!A84">
      <xdr:nvSpPr>
        <xdr:cNvPr id="73" name="ZoneTexte 72"/>
        <xdr:cNvSpPr txBox="1"/>
      </xdr:nvSpPr>
      <xdr:spPr>
        <a:xfrm>
          <a:off x="10916372" y="4596117"/>
          <a:ext cx="1584000" cy="3568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9515575-ABA9-4BB4-A3A8-71EF1ACE6A1E}" type="TxLink">
            <a:rPr lang="en-US" sz="1100" b="1" i="0" u="none" strike="noStrike">
              <a:solidFill>
                <a:srgbClr val="000000"/>
              </a:solidFill>
              <a:latin typeface="Segoe UI" panose="020B0502040204020203" pitchFamily="34" charset="0"/>
              <a:ea typeface="Cambria" panose="02040503050406030204" pitchFamily="18" charset="0"/>
              <a:cs typeface="Segoe UI" panose="020B0502040204020203" pitchFamily="34" charset="0"/>
            </a:rPr>
            <a:pPr/>
            <a:t>FRS HORS METIERS</a:t>
          </a:fld>
          <a:endParaRPr lang="en-US" sz="1100" b="1">
            <a:solidFill>
              <a:schemeClr val="bg1">
                <a:lumMod val="50000"/>
              </a:schemeClr>
            </a:solidFill>
            <a:latin typeface="Segoe UI" panose="020B0502040204020203" pitchFamily="34" charset="0"/>
            <a:ea typeface="Cambria" panose="02040503050406030204" pitchFamily="18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8</xdr:col>
      <xdr:colOff>1040310</xdr:colOff>
      <xdr:row>26</xdr:row>
      <xdr:rowOff>18674</xdr:rowOff>
    </xdr:from>
    <xdr:to>
      <xdr:col>10</xdr:col>
      <xdr:colOff>379132</xdr:colOff>
      <xdr:row>27</xdr:row>
      <xdr:rowOff>184574</xdr:rowOff>
    </xdr:to>
    <xdr:sp macro="" textlink="Calculs!A85">
      <xdr:nvSpPr>
        <xdr:cNvPr id="76" name="ZoneTexte 75"/>
        <xdr:cNvSpPr txBox="1"/>
      </xdr:nvSpPr>
      <xdr:spPr>
        <a:xfrm>
          <a:off x="10932703" y="5134960"/>
          <a:ext cx="1584000" cy="356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246A1A19-0CA5-49C1-B822-925D9E7968D6}" type="TxLink">
            <a:rPr lang="en-US" sz="1100" b="1" i="0" u="none" strike="noStrike">
              <a:solidFill>
                <a:srgbClr val="000000"/>
              </a:solidFill>
              <a:latin typeface="Segoe UI" panose="020B0502040204020203" pitchFamily="34" charset="0"/>
              <a:ea typeface="Cambria" panose="02040503050406030204" pitchFamily="18" charset="0"/>
              <a:cs typeface="Segoe UI" panose="020B0502040204020203" pitchFamily="34" charset="0"/>
            </a:rPr>
            <a:pPr/>
            <a:t>FRS METIERS</a:t>
          </a:fld>
          <a:endParaRPr lang="en-US" sz="1100" b="1">
            <a:solidFill>
              <a:schemeClr val="bg1">
                <a:lumMod val="50000"/>
              </a:schemeClr>
            </a:solidFill>
            <a:latin typeface="Segoe UI" panose="020B0502040204020203" pitchFamily="34" charset="0"/>
            <a:ea typeface="Cambria" panose="02040503050406030204" pitchFamily="18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10</xdr:col>
      <xdr:colOff>398052</xdr:colOff>
      <xdr:row>21</xdr:row>
      <xdr:rowOff>5067</xdr:rowOff>
    </xdr:from>
    <xdr:to>
      <xdr:col>11</xdr:col>
      <xdr:colOff>666444</xdr:colOff>
      <xdr:row>22</xdr:row>
      <xdr:rowOff>66567</xdr:rowOff>
    </xdr:to>
    <xdr:sp macro="" textlink="">
      <xdr:nvSpPr>
        <xdr:cNvPr id="111" name="ZoneTexte 110"/>
        <xdr:cNvSpPr txBox="1"/>
      </xdr:nvSpPr>
      <xdr:spPr>
        <a:xfrm>
          <a:off x="12535623" y="4168853"/>
          <a:ext cx="1044000" cy="252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1">
              <a:solidFill>
                <a:schemeClr val="bg1">
                  <a:lumMod val="50000"/>
                </a:schemeClr>
              </a:solidFill>
              <a:latin typeface="Cambria" panose="02040503050406030204" pitchFamily="18" charset="0"/>
              <a:ea typeface="Cambria" panose="02040503050406030204" pitchFamily="18" charset="0"/>
              <a:cs typeface="Segoe UI" panose="020B0502040204020203" pitchFamily="34" charset="0"/>
            </a:rPr>
            <a:t>Solde</a:t>
          </a:r>
        </a:p>
      </xdr:txBody>
    </xdr:sp>
    <xdr:clientData/>
  </xdr:twoCellAnchor>
  <xdr:twoCellAnchor>
    <xdr:from>
      <xdr:col>10</xdr:col>
      <xdr:colOff>351692</xdr:colOff>
      <xdr:row>22</xdr:row>
      <xdr:rowOff>190125</xdr:rowOff>
    </xdr:from>
    <xdr:to>
      <xdr:col>12</xdr:col>
      <xdr:colOff>87923</xdr:colOff>
      <xdr:row>24</xdr:row>
      <xdr:rowOff>165525</xdr:rowOff>
    </xdr:to>
    <xdr:sp macro="" textlink="Calculs!B84">
      <xdr:nvSpPr>
        <xdr:cNvPr id="112" name="ZoneTexte 111"/>
        <xdr:cNvSpPr txBox="1"/>
      </xdr:nvSpPr>
      <xdr:spPr>
        <a:xfrm>
          <a:off x="12485077" y="4556971"/>
          <a:ext cx="1348154" cy="356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3F1448C5-0CF5-47F8-A2BA-2687D2C9C7F1}" type="TxLink">
            <a:rPr lang="en-US" sz="1000" b="1" i="0" u="none" strike="noStrike">
              <a:solidFill>
                <a:srgbClr val="000000"/>
              </a:solidFill>
              <a:latin typeface="Segoe UI" panose="020B0502040204020203" pitchFamily="34" charset="0"/>
              <a:ea typeface="Cambria" panose="02040503050406030204" pitchFamily="18" charset="0"/>
              <a:cs typeface="Segoe UI" panose="020B0502040204020203" pitchFamily="34" charset="0"/>
            </a:rPr>
            <a:pPr algn="r"/>
            <a:t>6 250 000 FCFA</a:t>
          </a:fld>
          <a:endParaRPr lang="en-US" sz="1000" b="1">
            <a:solidFill>
              <a:schemeClr val="bg1">
                <a:lumMod val="50000"/>
              </a:schemeClr>
            </a:solidFill>
            <a:latin typeface="Segoe UI" panose="020B0502040204020203" pitchFamily="34" charset="0"/>
            <a:ea typeface="Cambria" panose="02040503050406030204" pitchFamily="18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10</xdr:col>
      <xdr:colOff>43961</xdr:colOff>
      <xdr:row>25</xdr:row>
      <xdr:rowOff>156419</xdr:rowOff>
    </xdr:from>
    <xdr:to>
      <xdr:col>12</xdr:col>
      <xdr:colOff>43961</xdr:colOff>
      <xdr:row>27</xdr:row>
      <xdr:rowOff>131819</xdr:rowOff>
    </xdr:to>
    <xdr:sp macro="" textlink="Calculs!B85">
      <xdr:nvSpPr>
        <xdr:cNvPr id="113" name="ZoneTexte 112"/>
        <xdr:cNvSpPr txBox="1"/>
      </xdr:nvSpPr>
      <xdr:spPr>
        <a:xfrm>
          <a:off x="12177346" y="5094765"/>
          <a:ext cx="1611923" cy="356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F16E35A6-C8AE-4E6E-9698-AB9B47CB30F1}" type="TxLink">
            <a:rPr lang="en-US" sz="1000" b="1" i="0" u="none" strike="noStrike">
              <a:solidFill>
                <a:srgbClr val="000000"/>
              </a:solidFill>
              <a:latin typeface="Segoe UI" panose="020B0502040204020203" pitchFamily="34" charset="0"/>
              <a:ea typeface="Cambria" panose="02040503050406030204" pitchFamily="18" charset="0"/>
              <a:cs typeface="Segoe UI" panose="020B0502040204020203" pitchFamily="34" charset="0"/>
            </a:rPr>
            <a:pPr algn="r"/>
            <a:t>124 711 418 FCFA</a:t>
          </a:fld>
          <a:endParaRPr lang="en-US" sz="1000" b="1">
            <a:solidFill>
              <a:schemeClr val="bg1">
                <a:lumMod val="50000"/>
              </a:schemeClr>
            </a:solidFill>
            <a:latin typeface="Segoe UI" panose="020B0502040204020203" pitchFamily="34" charset="0"/>
            <a:ea typeface="Cambria" panose="02040503050406030204" pitchFamily="18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11</xdr:col>
      <xdr:colOff>686523</xdr:colOff>
      <xdr:row>21</xdr:row>
      <xdr:rowOff>0</xdr:rowOff>
    </xdr:from>
    <xdr:to>
      <xdr:col>12</xdr:col>
      <xdr:colOff>748393</xdr:colOff>
      <xdr:row>22</xdr:row>
      <xdr:rowOff>82895</xdr:rowOff>
    </xdr:to>
    <xdr:sp macro="" textlink="">
      <xdr:nvSpPr>
        <xdr:cNvPr id="119" name="ZoneTexte 118"/>
        <xdr:cNvSpPr txBox="1"/>
      </xdr:nvSpPr>
      <xdr:spPr>
        <a:xfrm>
          <a:off x="13599702" y="4163786"/>
          <a:ext cx="905512" cy="2733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100" b="1">
              <a:solidFill>
                <a:schemeClr val="bg1">
                  <a:lumMod val="50000"/>
                </a:schemeClr>
              </a:solidFill>
              <a:latin typeface="Cambria" panose="02040503050406030204" pitchFamily="18" charset="0"/>
              <a:ea typeface="Cambria" panose="02040503050406030204" pitchFamily="18" charset="0"/>
              <a:cs typeface="Segoe UI" panose="020B0502040204020203" pitchFamily="34" charset="0"/>
            </a:rPr>
            <a:t>Nbres Fact,</a:t>
          </a:r>
        </a:p>
      </xdr:txBody>
    </xdr:sp>
    <xdr:clientData/>
  </xdr:twoCellAnchor>
  <xdr:twoCellAnchor>
    <xdr:from>
      <xdr:col>12</xdr:col>
      <xdr:colOff>58615</xdr:colOff>
      <xdr:row>22</xdr:row>
      <xdr:rowOff>148882</xdr:rowOff>
    </xdr:from>
    <xdr:to>
      <xdr:col>12</xdr:col>
      <xdr:colOff>747346</xdr:colOff>
      <xdr:row>25</xdr:row>
      <xdr:rowOff>0</xdr:rowOff>
    </xdr:to>
    <xdr:sp macro="" textlink="Calculs!D84">
      <xdr:nvSpPr>
        <xdr:cNvPr id="120" name="ZoneTexte 119"/>
        <xdr:cNvSpPr txBox="1"/>
      </xdr:nvSpPr>
      <xdr:spPr>
        <a:xfrm>
          <a:off x="13803923" y="4515728"/>
          <a:ext cx="688731" cy="42261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B04899FE-E287-4BC4-BA1A-D5D291E84CCF}" type="TxLink">
            <a:rPr lang="en-US" sz="1050" b="1" i="0" u="none" strike="noStrike">
              <a:solidFill>
                <a:schemeClr val="accent1">
                  <a:lumMod val="50000"/>
                </a:schemeClr>
              </a:solidFill>
              <a:latin typeface="Segoe UI" panose="020B0502040204020203" pitchFamily="34" charset="0"/>
              <a:ea typeface="Cambria" panose="02040503050406030204" pitchFamily="18" charset="0"/>
              <a:cs typeface="Segoe UI" panose="020B0502040204020203" pitchFamily="34" charset="0"/>
            </a:rPr>
            <a:pPr/>
            <a:t>13 Fac.</a:t>
          </a:fld>
          <a:endParaRPr lang="en-US" sz="600" b="1">
            <a:solidFill>
              <a:schemeClr val="accent1">
                <a:lumMod val="50000"/>
              </a:schemeClr>
            </a:solidFill>
            <a:latin typeface="Segoe UI" panose="020B0502040204020203" pitchFamily="34" charset="0"/>
            <a:ea typeface="Cambria" panose="02040503050406030204" pitchFamily="18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12</xdr:col>
      <xdr:colOff>73269</xdr:colOff>
      <xdr:row>25</xdr:row>
      <xdr:rowOff>132972</xdr:rowOff>
    </xdr:from>
    <xdr:to>
      <xdr:col>12</xdr:col>
      <xdr:colOff>791308</xdr:colOff>
      <xdr:row>27</xdr:row>
      <xdr:rowOff>146539</xdr:rowOff>
    </xdr:to>
    <xdr:sp macro="" textlink="Calculs!D85">
      <xdr:nvSpPr>
        <xdr:cNvPr id="121" name="ZoneTexte 120"/>
        <xdr:cNvSpPr txBox="1"/>
      </xdr:nvSpPr>
      <xdr:spPr>
        <a:xfrm>
          <a:off x="13818577" y="5071318"/>
          <a:ext cx="718039" cy="3945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C98D301D-2123-4D2D-A123-E6BFE7E3CDF0}" type="TxLink">
            <a:rPr lang="en-US" sz="1000" b="1" i="0" u="none" strike="noStrike">
              <a:solidFill>
                <a:schemeClr val="accent1">
                  <a:lumMod val="50000"/>
                </a:schemeClr>
              </a:solidFill>
              <a:latin typeface="Segoe UI" panose="020B0502040204020203" pitchFamily="34" charset="0"/>
              <a:ea typeface="Cambria" panose="02040503050406030204" pitchFamily="18" charset="0"/>
              <a:cs typeface="Segoe UI" panose="020B0502040204020203" pitchFamily="34" charset="0"/>
            </a:rPr>
            <a:pPr marL="0" indent="0"/>
            <a:t>102 Fac.</a:t>
          </a:fld>
          <a:endParaRPr lang="en-US" sz="1000" b="1" i="0" u="none" strike="noStrike">
            <a:solidFill>
              <a:schemeClr val="accent1">
                <a:lumMod val="50000"/>
              </a:schemeClr>
            </a:solidFill>
            <a:latin typeface="Segoe UI" panose="020B0502040204020203" pitchFamily="34" charset="0"/>
            <a:ea typeface="Cambria" panose="02040503050406030204" pitchFamily="18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0</xdr:col>
      <xdr:colOff>295429</xdr:colOff>
      <xdr:row>3</xdr:row>
      <xdr:rowOff>135489</xdr:rowOff>
    </xdr:from>
    <xdr:to>
      <xdr:col>1</xdr:col>
      <xdr:colOff>599786</xdr:colOff>
      <xdr:row>4</xdr:row>
      <xdr:rowOff>196989</xdr:rowOff>
    </xdr:to>
    <xdr:sp macro="[0]!BascTB" textlink="">
      <xdr:nvSpPr>
        <xdr:cNvPr id="125" name="Rectangle à coins arrondis 124"/>
        <xdr:cNvSpPr/>
      </xdr:nvSpPr>
      <xdr:spPr>
        <a:xfrm>
          <a:off x="295429" y="706989"/>
          <a:ext cx="1144798" cy="252000"/>
        </a:xfrm>
        <a:prstGeom prst="roundRect">
          <a:avLst/>
        </a:prstGeom>
        <a:solidFill>
          <a:schemeClr val="accent1">
            <a:lumMod val="75000"/>
          </a:schemeClr>
        </a:solidFill>
        <a:ln>
          <a:solidFill>
            <a:schemeClr val="bg1">
              <a:lumMod val="95000"/>
            </a:schemeClr>
          </a:solidFill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100" b="1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309283</xdr:colOff>
      <xdr:row>5</xdr:row>
      <xdr:rowOff>189753</xdr:rowOff>
    </xdr:from>
    <xdr:to>
      <xdr:col>1</xdr:col>
      <xdr:colOff>613640</xdr:colOff>
      <xdr:row>7</xdr:row>
      <xdr:rowOff>21022</xdr:rowOff>
    </xdr:to>
    <xdr:sp macro="[0]!BascDettes" textlink="">
      <xdr:nvSpPr>
        <xdr:cNvPr id="126" name="Rectangle à coins arrondis 125"/>
        <xdr:cNvSpPr/>
      </xdr:nvSpPr>
      <xdr:spPr>
        <a:xfrm>
          <a:off x="309283" y="1175871"/>
          <a:ext cx="1144798" cy="257092"/>
        </a:xfrm>
        <a:prstGeom prst="roundRect">
          <a:avLst/>
        </a:prstGeom>
        <a:noFill/>
        <a:ln>
          <a:solidFill>
            <a:schemeClr val="bg1">
              <a:lumMod val="95000"/>
            </a:schemeClr>
          </a:solidFill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100" b="1">
              <a:solidFill>
                <a:schemeClr val="bg2">
                  <a:lumMod val="7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Dettes</a:t>
          </a:r>
        </a:p>
      </xdr:txBody>
    </xdr:sp>
    <xdr:clientData/>
  </xdr:twoCellAnchor>
  <xdr:twoCellAnchor>
    <xdr:from>
      <xdr:col>0</xdr:col>
      <xdr:colOff>305820</xdr:colOff>
      <xdr:row>7</xdr:row>
      <xdr:rowOff>192061</xdr:rowOff>
    </xdr:from>
    <xdr:to>
      <xdr:col>1</xdr:col>
      <xdr:colOff>610177</xdr:colOff>
      <xdr:row>9</xdr:row>
      <xdr:rowOff>34537</xdr:rowOff>
    </xdr:to>
    <xdr:sp macro="[0]!BascReglts" textlink="">
      <xdr:nvSpPr>
        <xdr:cNvPr id="127" name="Rectangle à coins arrondis 126"/>
        <xdr:cNvSpPr/>
      </xdr:nvSpPr>
      <xdr:spPr>
        <a:xfrm>
          <a:off x="305820" y="1604002"/>
          <a:ext cx="1144798" cy="257094"/>
        </a:xfrm>
        <a:prstGeom prst="roundRect">
          <a:avLst/>
        </a:prstGeom>
        <a:noFill/>
        <a:ln>
          <a:solidFill>
            <a:schemeClr val="bg1">
              <a:lumMod val="95000"/>
            </a:schemeClr>
          </a:solidFill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100" b="1">
              <a:solidFill>
                <a:schemeClr val="bg2">
                  <a:lumMod val="7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Règlements</a:t>
          </a:r>
        </a:p>
      </xdr:txBody>
    </xdr:sp>
    <xdr:clientData/>
  </xdr:twoCellAnchor>
  <xdr:twoCellAnchor>
    <xdr:from>
      <xdr:col>0</xdr:col>
      <xdr:colOff>302356</xdr:colOff>
      <xdr:row>10</xdr:row>
      <xdr:rowOff>16096</xdr:rowOff>
    </xdr:from>
    <xdr:to>
      <xdr:col>1</xdr:col>
      <xdr:colOff>606713</xdr:colOff>
      <xdr:row>11</xdr:row>
      <xdr:rowOff>82690</xdr:rowOff>
    </xdr:to>
    <xdr:sp macro="[0]!BascParametres" textlink="">
      <xdr:nvSpPr>
        <xdr:cNvPr id="128" name="Rectangle à coins arrondis 127"/>
        <xdr:cNvSpPr/>
      </xdr:nvSpPr>
      <xdr:spPr>
        <a:xfrm>
          <a:off x="302356" y="2055567"/>
          <a:ext cx="1144798" cy="257094"/>
        </a:xfrm>
        <a:prstGeom prst="roundRect">
          <a:avLst/>
        </a:prstGeom>
        <a:noFill/>
        <a:ln>
          <a:solidFill>
            <a:schemeClr val="bg1">
              <a:lumMod val="95000"/>
            </a:schemeClr>
          </a:solidFill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100" b="1">
              <a:solidFill>
                <a:schemeClr val="bg2">
                  <a:lumMod val="7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Paramètres</a:t>
          </a:r>
        </a:p>
      </xdr:txBody>
    </xdr:sp>
    <xdr:clientData/>
  </xdr:twoCellAnchor>
  <xdr:twoCellAnchor editAs="oneCell">
    <xdr:from>
      <xdr:col>0</xdr:col>
      <xdr:colOff>0</xdr:colOff>
      <xdr:row>24</xdr:row>
      <xdr:rowOff>13608</xdr:rowOff>
    </xdr:from>
    <xdr:to>
      <xdr:col>2</xdr:col>
      <xdr:colOff>0</xdr:colOff>
      <xdr:row>28</xdr:row>
      <xdr:rowOff>13608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9" name="Année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né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4748894"/>
              <a:ext cx="1592036" cy="762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28</xdr:row>
      <xdr:rowOff>1047</xdr:rowOff>
    </xdr:from>
    <xdr:to>
      <xdr:col>2</xdr:col>
      <xdr:colOff>0</xdr:colOff>
      <xdr:row>34</xdr:row>
      <xdr:rowOff>40821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0" name="Mois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i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5498333"/>
              <a:ext cx="1592036" cy="118277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>
    <xdr:from>
      <xdr:col>8</xdr:col>
      <xdr:colOff>928007</xdr:colOff>
      <xdr:row>8</xdr:row>
      <xdr:rowOff>104775</xdr:rowOff>
    </xdr:from>
    <xdr:to>
      <xdr:col>12</xdr:col>
      <xdr:colOff>723900</xdr:colOff>
      <xdr:row>17</xdr:row>
      <xdr:rowOff>140073</xdr:rowOff>
    </xdr:to>
    <xdr:graphicFrame macro="">
      <xdr:nvGraphicFramePr>
        <xdr:cNvPr id="77" name="Graphique 7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938732</xdr:colOff>
      <xdr:row>9</xdr:row>
      <xdr:rowOff>123266</xdr:rowOff>
    </xdr:from>
    <xdr:to>
      <xdr:col>8</xdr:col>
      <xdr:colOff>638735</xdr:colOff>
      <xdr:row>17</xdr:row>
      <xdr:rowOff>179295</xdr:rowOff>
    </xdr:to>
    <xdr:graphicFrame macro="">
      <xdr:nvGraphicFramePr>
        <xdr:cNvPr id="102" name="Graphique 10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961258</xdr:colOff>
      <xdr:row>7</xdr:row>
      <xdr:rowOff>170100</xdr:rowOff>
    </xdr:from>
    <xdr:to>
      <xdr:col>6</xdr:col>
      <xdr:colOff>262876</xdr:colOff>
      <xdr:row>8</xdr:row>
      <xdr:rowOff>101188</xdr:rowOff>
    </xdr:to>
    <xdr:sp macro="" textlink="">
      <xdr:nvSpPr>
        <xdr:cNvPr id="104" name="ZoneTexte 103"/>
        <xdr:cNvSpPr txBox="1"/>
      </xdr:nvSpPr>
      <xdr:spPr>
        <a:xfrm>
          <a:off x="6586611" y="1582041"/>
          <a:ext cx="792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900" b="1">
              <a:solidFill>
                <a:schemeClr val="bg2">
                  <a:lumMod val="75000"/>
                </a:schemeClr>
              </a:solidFill>
              <a:latin typeface="Cambria" panose="02040503050406030204" pitchFamily="18" charset="0"/>
              <a:ea typeface="Cambria" panose="02040503050406030204" pitchFamily="18" charset="0"/>
              <a:cs typeface="Segoe UI" panose="020B0502040204020203" pitchFamily="34" charset="0"/>
            </a:rPr>
            <a:t>Total Dette</a:t>
          </a:r>
        </a:p>
      </xdr:txBody>
    </xdr:sp>
    <xdr:clientData/>
  </xdr:twoCellAnchor>
  <xdr:twoCellAnchor>
    <xdr:from>
      <xdr:col>6</xdr:col>
      <xdr:colOff>463717</xdr:colOff>
      <xdr:row>7</xdr:row>
      <xdr:rowOff>165618</xdr:rowOff>
    </xdr:from>
    <xdr:to>
      <xdr:col>6</xdr:col>
      <xdr:colOff>1255717</xdr:colOff>
      <xdr:row>8</xdr:row>
      <xdr:rowOff>96706</xdr:rowOff>
    </xdr:to>
    <xdr:sp macro="" textlink="">
      <xdr:nvSpPr>
        <xdr:cNvPr id="105" name="ZoneTexte 104"/>
        <xdr:cNvSpPr txBox="1"/>
      </xdr:nvSpPr>
      <xdr:spPr>
        <a:xfrm>
          <a:off x="7579452" y="1577559"/>
          <a:ext cx="792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900" b="1">
              <a:solidFill>
                <a:schemeClr val="bg2">
                  <a:lumMod val="75000"/>
                </a:schemeClr>
              </a:solidFill>
              <a:latin typeface="Cambria" panose="02040503050406030204" pitchFamily="18" charset="0"/>
              <a:ea typeface="Cambria" panose="02040503050406030204" pitchFamily="18" charset="0"/>
              <a:cs typeface="Segoe UI" panose="020B0502040204020203" pitchFamily="34" charset="0"/>
            </a:rPr>
            <a:t>Total payé</a:t>
          </a:r>
        </a:p>
      </xdr:txBody>
    </xdr:sp>
    <xdr:clientData/>
  </xdr:twoCellAnchor>
  <xdr:twoCellAnchor>
    <xdr:from>
      <xdr:col>7</xdr:col>
      <xdr:colOff>134263</xdr:colOff>
      <xdr:row>7</xdr:row>
      <xdr:rowOff>161136</xdr:rowOff>
    </xdr:from>
    <xdr:to>
      <xdr:col>7</xdr:col>
      <xdr:colOff>926263</xdr:colOff>
      <xdr:row>8</xdr:row>
      <xdr:rowOff>92224</xdr:rowOff>
    </xdr:to>
    <xdr:sp macro="" textlink="">
      <xdr:nvSpPr>
        <xdr:cNvPr id="106" name="ZoneTexte 105"/>
        <xdr:cNvSpPr txBox="1"/>
      </xdr:nvSpPr>
      <xdr:spPr>
        <a:xfrm>
          <a:off x="8549881" y="1573077"/>
          <a:ext cx="792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900" b="1">
              <a:solidFill>
                <a:schemeClr val="bg2">
                  <a:lumMod val="75000"/>
                </a:schemeClr>
              </a:solidFill>
              <a:latin typeface="Cambria" panose="02040503050406030204" pitchFamily="18" charset="0"/>
              <a:ea typeface="Cambria" panose="02040503050406030204" pitchFamily="18" charset="0"/>
              <a:cs typeface="Segoe UI" panose="020B0502040204020203" pitchFamily="34" charset="0"/>
            </a:rPr>
            <a:t>Prévision</a:t>
          </a:r>
        </a:p>
      </xdr:txBody>
    </xdr:sp>
    <xdr:clientData/>
  </xdr:twoCellAnchor>
  <xdr:twoCellAnchor>
    <xdr:from>
      <xdr:col>0</xdr:col>
      <xdr:colOff>11207</xdr:colOff>
      <xdr:row>2</xdr:row>
      <xdr:rowOff>168088</xdr:rowOff>
    </xdr:from>
    <xdr:to>
      <xdr:col>1</xdr:col>
      <xdr:colOff>728384</xdr:colOff>
      <xdr:row>12</xdr:row>
      <xdr:rowOff>168088</xdr:rowOff>
    </xdr:to>
    <xdr:sp macro="" textlink="">
      <xdr:nvSpPr>
        <xdr:cNvPr id="2" name="Rectangle 1"/>
        <xdr:cNvSpPr/>
      </xdr:nvSpPr>
      <xdr:spPr>
        <a:xfrm>
          <a:off x="11207" y="549088"/>
          <a:ext cx="1557618" cy="20955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11</xdr:row>
      <xdr:rowOff>178594</xdr:rowOff>
    </xdr:from>
    <xdr:to>
      <xdr:col>2</xdr:col>
      <xdr:colOff>0</xdr:colOff>
      <xdr:row>23</xdr:row>
      <xdr:rowOff>162135</xdr:rowOff>
    </xdr:to>
    <xdr:sp macro="" textlink="">
      <xdr:nvSpPr>
        <xdr:cNvPr id="103" name="Rectangle 102"/>
        <xdr:cNvSpPr/>
      </xdr:nvSpPr>
      <xdr:spPr>
        <a:xfrm>
          <a:off x="0" y="2396133"/>
          <a:ext cx="1592461" cy="23796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29766</xdr:colOff>
      <xdr:row>12</xdr:row>
      <xdr:rowOff>14883</xdr:rowOff>
    </xdr:from>
    <xdr:to>
      <xdr:col>2</xdr:col>
      <xdr:colOff>5529</xdr:colOff>
      <xdr:row>23</xdr:row>
      <xdr:rowOff>193475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107" name="Fournisseur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ournisseur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9766" y="2450562"/>
              <a:ext cx="1567799" cy="22876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477373</xdr:colOff>
      <xdr:row>6</xdr:row>
      <xdr:rowOff>16008</xdr:rowOff>
    </xdr:from>
    <xdr:to>
      <xdr:col>9</xdr:col>
      <xdr:colOff>291202</xdr:colOff>
      <xdr:row>7</xdr:row>
      <xdr:rowOff>46292</xdr:rowOff>
    </xdr:to>
    <xdr:sp macro="[0]!EnrgDettesvf" textlink="">
      <xdr:nvSpPr>
        <xdr:cNvPr id="2" name="Rectangle à coins arrondis 1"/>
        <xdr:cNvSpPr/>
      </xdr:nvSpPr>
      <xdr:spPr>
        <a:xfrm>
          <a:off x="9730230" y="1199829"/>
          <a:ext cx="1215365" cy="234392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  <a:scene3d>
          <a:camera prst="obliqueBottomRight"/>
          <a:lightRig rig="threePt" dir="t"/>
        </a:scene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 b="1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Enregistrer</a:t>
          </a:r>
        </a:p>
      </xdr:txBody>
    </xdr:sp>
    <xdr:clientData/>
  </xdr:twoCellAnchor>
  <xdr:twoCellAnchor>
    <xdr:from>
      <xdr:col>8</xdr:col>
      <xdr:colOff>477373</xdr:colOff>
      <xdr:row>7</xdr:row>
      <xdr:rowOff>148398</xdr:rowOff>
    </xdr:from>
    <xdr:to>
      <xdr:col>9</xdr:col>
      <xdr:colOff>291202</xdr:colOff>
      <xdr:row>8</xdr:row>
      <xdr:rowOff>187486</xdr:rowOff>
    </xdr:to>
    <xdr:sp macro="[0]!supEcriture" textlink="">
      <xdr:nvSpPr>
        <xdr:cNvPr id="3" name="Rectangle à coins arrondis 2"/>
        <xdr:cNvSpPr/>
      </xdr:nvSpPr>
      <xdr:spPr>
        <a:xfrm>
          <a:off x="9730230" y="1536327"/>
          <a:ext cx="1215365" cy="243195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noFill/>
        </a:ln>
        <a:scene3d>
          <a:camera prst="obliqueBottomRight"/>
          <a:lightRig rig="threePt" dir="t"/>
        </a:scene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 b="1">
              <a:solidFill>
                <a:sysClr val="windowText" lastClr="000000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Supprimer</a:t>
          </a:r>
        </a:p>
      </xdr:txBody>
    </xdr:sp>
    <xdr:clientData/>
  </xdr:twoCellAnchor>
  <xdr:twoCellAnchor>
    <xdr:from>
      <xdr:col>8</xdr:col>
      <xdr:colOff>477373</xdr:colOff>
      <xdr:row>9</xdr:row>
      <xdr:rowOff>99092</xdr:rowOff>
    </xdr:from>
    <xdr:to>
      <xdr:col>9</xdr:col>
      <xdr:colOff>291202</xdr:colOff>
      <xdr:row>10</xdr:row>
      <xdr:rowOff>138180</xdr:rowOff>
    </xdr:to>
    <xdr:sp macro="[0]!ViderCellSaisiDett" textlink="">
      <xdr:nvSpPr>
        <xdr:cNvPr id="4" name="Rectangle à coins arrondis 3"/>
        <xdr:cNvSpPr/>
      </xdr:nvSpPr>
      <xdr:spPr>
        <a:xfrm>
          <a:off x="9730230" y="1895235"/>
          <a:ext cx="1215365" cy="243195"/>
        </a:xfrm>
        <a:prstGeom prst="roundRect">
          <a:avLst/>
        </a:prstGeom>
        <a:solidFill>
          <a:schemeClr val="bg1">
            <a:lumMod val="65000"/>
          </a:schemeClr>
        </a:solidFill>
        <a:ln>
          <a:noFill/>
        </a:ln>
        <a:scene3d>
          <a:camera prst="obliqueBottomRight"/>
          <a:lightRig rig="threePt" dir="t"/>
        </a:scene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 b="1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Effacer</a:t>
          </a:r>
        </a:p>
      </xdr:txBody>
    </xdr:sp>
    <xdr:clientData/>
  </xdr:twoCellAnchor>
  <xdr:twoCellAnchor>
    <xdr:from>
      <xdr:col>5</xdr:col>
      <xdr:colOff>1319893</xdr:colOff>
      <xdr:row>0</xdr:row>
      <xdr:rowOff>54428</xdr:rowOff>
    </xdr:from>
    <xdr:to>
      <xdr:col>6</xdr:col>
      <xdr:colOff>981512</xdr:colOff>
      <xdr:row>1</xdr:row>
      <xdr:rowOff>115928</xdr:rowOff>
    </xdr:to>
    <xdr:sp macro="[0]!BascTB" textlink="">
      <xdr:nvSpPr>
        <xdr:cNvPr id="13" name="Rectangle à coins arrondis 12"/>
        <xdr:cNvSpPr/>
      </xdr:nvSpPr>
      <xdr:spPr>
        <a:xfrm>
          <a:off x="6191250" y="54428"/>
          <a:ext cx="1144798" cy="252000"/>
        </a:xfrm>
        <a:prstGeom prst="roundRect">
          <a:avLst/>
        </a:prstGeom>
        <a:noFill/>
        <a:ln>
          <a:solidFill>
            <a:schemeClr val="bg1">
              <a:lumMod val="95000"/>
            </a:schemeClr>
          </a:solidFill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1100" b="1">
              <a:solidFill>
                <a:schemeClr val="bg2">
                  <a:lumMod val="75000"/>
                </a:scheme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7</xdr:col>
      <xdr:colOff>183738</xdr:colOff>
      <xdr:row>0</xdr:row>
      <xdr:rowOff>68036</xdr:rowOff>
    </xdr:from>
    <xdr:to>
      <xdr:col>7</xdr:col>
      <xdr:colOff>1328536</xdr:colOff>
      <xdr:row>1</xdr:row>
      <xdr:rowOff>134628</xdr:rowOff>
    </xdr:to>
    <xdr:sp macro="[0]!BascDettes" textlink="">
      <xdr:nvSpPr>
        <xdr:cNvPr id="14" name="Rectangle à coins arrondis 13"/>
        <xdr:cNvSpPr/>
      </xdr:nvSpPr>
      <xdr:spPr>
        <a:xfrm>
          <a:off x="7830952" y="68036"/>
          <a:ext cx="1144798" cy="257092"/>
        </a:xfrm>
        <a:prstGeom prst="roundRect">
          <a:avLst/>
        </a:prstGeom>
        <a:solidFill>
          <a:schemeClr val="accent1"/>
        </a:solidFill>
        <a:ln>
          <a:solidFill>
            <a:schemeClr val="bg1">
              <a:lumMod val="95000"/>
            </a:schemeClr>
          </a:solidFill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1100" b="1">
              <a:solidFill>
                <a:schemeClr val="bg1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Dettes</a:t>
          </a:r>
        </a:p>
      </xdr:txBody>
    </xdr:sp>
    <xdr:clientData/>
  </xdr:twoCellAnchor>
  <xdr:twoCellAnchor>
    <xdr:from>
      <xdr:col>8</xdr:col>
      <xdr:colOff>245011</xdr:colOff>
      <xdr:row>0</xdr:row>
      <xdr:rowOff>53370</xdr:rowOff>
    </xdr:from>
    <xdr:to>
      <xdr:col>8</xdr:col>
      <xdr:colOff>1389809</xdr:colOff>
      <xdr:row>1</xdr:row>
      <xdr:rowOff>119964</xdr:rowOff>
    </xdr:to>
    <xdr:sp macro="[0]!BascReglts" textlink="">
      <xdr:nvSpPr>
        <xdr:cNvPr id="15" name="Rectangle à coins arrondis 14"/>
        <xdr:cNvSpPr/>
      </xdr:nvSpPr>
      <xdr:spPr>
        <a:xfrm>
          <a:off x="9497868" y="53370"/>
          <a:ext cx="1144798" cy="257094"/>
        </a:xfrm>
        <a:prstGeom prst="roundRect">
          <a:avLst/>
        </a:prstGeom>
        <a:noFill/>
        <a:ln>
          <a:solidFill>
            <a:schemeClr val="bg1">
              <a:lumMod val="95000"/>
            </a:schemeClr>
          </a:solidFill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1100" b="1">
              <a:solidFill>
                <a:schemeClr val="bg2">
                  <a:lumMod val="75000"/>
                </a:scheme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Règlements</a:t>
          </a:r>
        </a:p>
      </xdr:txBody>
    </xdr:sp>
    <xdr:clientData/>
  </xdr:twoCellAnchor>
  <xdr:twoCellAnchor>
    <xdr:from>
      <xdr:col>9</xdr:col>
      <xdr:colOff>496784</xdr:colOff>
      <xdr:row>0</xdr:row>
      <xdr:rowOff>55900</xdr:rowOff>
    </xdr:from>
    <xdr:to>
      <xdr:col>10</xdr:col>
      <xdr:colOff>8725</xdr:colOff>
      <xdr:row>1</xdr:row>
      <xdr:rowOff>122494</xdr:rowOff>
    </xdr:to>
    <xdr:sp macro="[0]!BascParametres" textlink="">
      <xdr:nvSpPr>
        <xdr:cNvPr id="16" name="Rectangle à coins arrondis 15"/>
        <xdr:cNvSpPr/>
      </xdr:nvSpPr>
      <xdr:spPr>
        <a:xfrm>
          <a:off x="11151177" y="55900"/>
          <a:ext cx="1144798" cy="257094"/>
        </a:xfrm>
        <a:prstGeom prst="roundRect">
          <a:avLst/>
        </a:prstGeom>
        <a:noFill/>
        <a:ln>
          <a:solidFill>
            <a:schemeClr val="bg1">
              <a:lumMod val="95000"/>
            </a:schemeClr>
          </a:solidFill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1100" b="1">
              <a:solidFill>
                <a:schemeClr val="bg2">
                  <a:lumMod val="75000"/>
                </a:scheme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Paramètres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466164</xdr:colOff>
      <xdr:row>6</xdr:row>
      <xdr:rowOff>22412</xdr:rowOff>
    </xdr:from>
    <xdr:to>
      <xdr:col>11</xdr:col>
      <xdr:colOff>592959</xdr:colOff>
      <xdr:row>7</xdr:row>
      <xdr:rowOff>61500</xdr:rowOff>
    </xdr:to>
    <xdr:sp macro="[0]!EnregRglts" textlink="">
      <xdr:nvSpPr>
        <xdr:cNvPr id="2" name="Rectangle à coins arrondis 1"/>
        <xdr:cNvSpPr/>
      </xdr:nvSpPr>
      <xdr:spPr>
        <a:xfrm>
          <a:off x="13027958" y="1221441"/>
          <a:ext cx="900001" cy="25200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  <a:scene3d>
          <a:camera prst="obliqueBottomRight"/>
          <a:lightRig rig="threePt" dir="t"/>
        </a:scene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 b="1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Enregistrer</a:t>
          </a:r>
        </a:p>
      </xdr:txBody>
    </xdr:sp>
    <xdr:clientData/>
  </xdr:twoCellAnchor>
  <xdr:twoCellAnchor>
    <xdr:from>
      <xdr:col>10</xdr:col>
      <xdr:colOff>466164</xdr:colOff>
      <xdr:row>7</xdr:row>
      <xdr:rowOff>163606</xdr:rowOff>
    </xdr:from>
    <xdr:to>
      <xdr:col>11</xdr:col>
      <xdr:colOff>592959</xdr:colOff>
      <xdr:row>9</xdr:row>
      <xdr:rowOff>988</xdr:rowOff>
    </xdr:to>
    <xdr:sp macro="[0]!SupRglts" textlink="">
      <xdr:nvSpPr>
        <xdr:cNvPr id="3" name="Rectangle à coins arrondis 2"/>
        <xdr:cNvSpPr/>
      </xdr:nvSpPr>
      <xdr:spPr>
        <a:xfrm>
          <a:off x="13027958" y="1575547"/>
          <a:ext cx="900001" cy="25200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  <a:scene3d>
          <a:camera prst="obliqueBottomRight"/>
          <a:lightRig rig="threePt" dir="t"/>
        </a:scene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 b="1">
              <a:solidFill>
                <a:sysClr val="windowText" lastClr="000000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Supprimer</a:t>
          </a:r>
        </a:p>
      </xdr:txBody>
    </xdr:sp>
    <xdr:clientData/>
  </xdr:twoCellAnchor>
  <xdr:twoCellAnchor>
    <xdr:from>
      <xdr:col>10</xdr:col>
      <xdr:colOff>466164</xdr:colOff>
      <xdr:row>9</xdr:row>
      <xdr:rowOff>114300</xdr:rowOff>
    </xdr:from>
    <xdr:to>
      <xdr:col>11</xdr:col>
      <xdr:colOff>592959</xdr:colOff>
      <xdr:row>10</xdr:row>
      <xdr:rowOff>153388</xdr:rowOff>
    </xdr:to>
    <xdr:sp macro="" textlink="">
      <xdr:nvSpPr>
        <xdr:cNvPr id="4" name="Rectangle à coins arrondis 3"/>
        <xdr:cNvSpPr/>
      </xdr:nvSpPr>
      <xdr:spPr>
        <a:xfrm>
          <a:off x="13027958" y="1940859"/>
          <a:ext cx="900001" cy="252000"/>
        </a:xfrm>
        <a:prstGeom prst="roundRect">
          <a:avLst/>
        </a:prstGeom>
        <a:solidFill>
          <a:schemeClr val="bg1">
            <a:lumMod val="65000"/>
          </a:schemeClr>
        </a:solidFill>
        <a:ln>
          <a:noFill/>
        </a:ln>
        <a:scene3d>
          <a:camera prst="obliqueBottomRight"/>
          <a:lightRig rig="threePt" dir="t"/>
        </a:scene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 b="1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Annuler</a:t>
          </a:r>
        </a:p>
      </xdr:txBody>
    </xdr:sp>
    <xdr:clientData/>
  </xdr:twoCellAnchor>
  <xdr:twoCellAnchor>
    <xdr:from>
      <xdr:col>5</xdr:col>
      <xdr:colOff>987136</xdr:colOff>
      <xdr:row>0</xdr:row>
      <xdr:rowOff>87649</xdr:rowOff>
    </xdr:from>
    <xdr:to>
      <xdr:col>6</xdr:col>
      <xdr:colOff>642571</xdr:colOff>
      <xdr:row>1</xdr:row>
      <xdr:rowOff>149149</xdr:rowOff>
    </xdr:to>
    <xdr:sp macro="[0]!BascTB" textlink="">
      <xdr:nvSpPr>
        <xdr:cNvPr id="10" name="Rectangle à coins arrondis 9"/>
        <xdr:cNvSpPr/>
      </xdr:nvSpPr>
      <xdr:spPr>
        <a:xfrm>
          <a:off x="5905500" y="87649"/>
          <a:ext cx="1144798" cy="252000"/>
        </a:xfrm>
        <a:prstGeom prst="roundRect">
          <a:avLst/>
        </a:prstGeom>
        <a:noFill/>
        <a:ln>
          <a:solidFill>
            <a:schemeClr val="bg1">
              <a:lumMod val="95000"/>
            </a:schemeClr>
          </a:solidFill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1100" b="1">
              <a:solidFill>
                <a:schemeClr val="bg2">
                  <a:lumMod val="75000"/>
                </a:scheme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6</xdr:col>
      <xdr:colOff>1151348</xdr:colOff>
      <xdr:row>0</xdr:row>
      <xdr:rowOff>101257</xdr:rowOff>
    </xdr:from>
    <xdr:to>
      <xdr:col>7</xdr:col>
      <xdr:colOff>997282</xdr:colOff>
      <xdr:row>1</xdr:row>
      <xdr:rowOff>167849</xdr:rowOff>
    </xdr:to>
    <xdr:sp macro="[0]!BascDettes" textlink="">
      <xdr:nvSpPr>
        <xdr:cNvPr id="11" name="Rectangle à coins arrondis 10"/>
        <xdr:cNvSpPr/>
      </xdr:nvSpPr>
      <xdr:spPr>
        <a:xfrm>
          <a:off x="7573919" y="101257"/>
          <a:ext cx="1138613" cy="257092"/>
        </a:xfrm>
        <a:prstGeom prst="roundRect">
          <a:avLst/>
        </a:prstGeom>
        <a:noFill/>
        <a:ln>
          <a:solidFill>
            <a:schemeClr val="bg1">
              <a:lumMod val="95000"/>
            </a:schemeClr>
          </a:solidFill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1100" b="1">
              <a:solidFill>
                <a:schemeClr val="bg2">
                  <a:lumMod val="75000"/>
                </a:scheme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Dettes</a:t>
          </a:r>
        </a:p>
      </xdr:txBody>
    </xdr:sp>
    <xdr:clientData/>
  </xdr:twoCellAnchor>
  <xdr:twoCellAnchor>
    <xdr:from>
      <xdr:col>7</xdr:col>
      <xdr:colOff>1506059</xdr:colOff>
      <xdr:row>0</xdr:row>
      <xdr:rowOff>86591</xdr:rowOff>
    </xdr:from>
    <xdr:to>
      <xdr:col>8</xdr:col>
      <xdr:colOff>1039248</xdr:colOff>
      <xdr:row>1</xdr:row>
      <xdr:rowOff>153185</xdr:rowOff>
    </xdr:to>
    <xdr:sp macro="[0]!BascReglts" textlink="">
      <xdr:nvSpPr>
        <xdr:cNvPr id="12" name="Rectangle à coins arrondis 11"/>
        <xdr:cNvSpPr/>
      </xdr:nvSpPr>
      <xdr:spPr>
        <a:xfrm>
          <a:off x="9221309" y="86591"/>
          <a:ext cx="1138832" cy="257094"/>
        </a:xfrm>
        <a:prstGeom prst="roundRect">
          <a:avLst/>
        </a:prstGeom>
        <a:solidFill>
          <a:schemeClr val="accent1"/>
        </a:solidFill>
        <a:ln>
          <a:solidFill>
            <a:schemeClr val="bg1">
              <a:lumMod val="95000"/>
            </a:schemeClr>
          </a:solidFill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1100" b="1">
              <a:solidFill>
                <a:schemeClr val="bg1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Règlements</a:t>
          </a:r>
        </a:p>
      </xdr:txBody>
    </xdr:sp>
    <xdr:clientData/>
  </xdr:twoCellAnchor>
  <xdr:twoCellAnchor>
    <xdr:from>
      <xdr:col>9</xdr:col>
      <xdr:colOff>146490</xdr:colOff>
      <xdr:row>0</xdr:row>
      <xdr:rowOff>89121</xdr:rowOff>
    </xdr:from>
    <xdr:to>
      <xdr:col>10</xdr:col>
      <xdr:colOff>6687</xdr:colOff>
      <xdr:row>1</xdr:row>
      <xdr:rowOff>155715</xdr:rowOff>
    </xdr:to>
    <xdr:sp macro="[0]!BascParametres" textlink="">
      <xdr:nvSpPr>
        <xdr:cNvPr id="13" name="Rectangle à coins arrondis 12"/>
        <xdr:cNvSpPr/>
      </xdr:nvSpPr>
      <xdr:spPr>
        <a:xfrm>
          <a:off x="10866445" y="89121"/>
          <a:ext cx="1141742" cy="257094"/>
        </a:xfrm>
        <a:prstGeom prst="roundRect">
          <a:avLst/>
        </a:prstGeom>
        <a:noFill/>
        <a:ln>
          <a:solidFill>
            <a:schemeClr val="bg1">
              <a:lumMod val="95000"/>
            </a:schemeClr>
          </a:solidFill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1100" b="1">
              <a:solidFill>
                <a:schemeClr val="bg2">
                  <a:lumMod val="75000"/>
                </a:scheme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Paramètres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997319</xdr:colOff>
      <xdr:row>3</xdr:row>
      <xdr:rowOff>39593</xdr:rowOff>
    </xdr:from>
    <xdr:to>
      <xdr:col>11</xdr:col>
      <xdr:colOff>728381</xdr:colOff>
      <xdr:row>4</xdr:row>
      <xdr:rowOff>156882</xdr:rowOff>
    </xdr:to>
    <xdr:sp macro="" textlink="">
      <xdr:nvSpPr>
        <xdr:cNvPr id="10" name="Rectangle à coins arrondis 9"/>
        <xdr:cNvSpPr/>
      </xdr:nvSpPr>
      <xdr:spPr>
        <a:xfrm>
          <a:off x="8650937" y="611093"/>
          <a:ext cx="4157385" cy="307789"/>
        </a:xfrm>
        <a:prstGeom prst="roundRect">
          <a:avLst/>
        </a:prstGeom>
        <a:noFill/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r>
            <a:rPr lang="en-US" sz="1400" b="1">
              <a:solidFill>
                <a:sysClr val="windowText" lastClr="000000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Date</a:t>
          </a:r>
          <a:r>
            <a:rPr lang="en-US" sz="1400" b="1" baseline="0">
              <a:solidFill>
                <a:sysClr val="windowText" lastClr="000000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 de </a:t>
          </a:r>
          <a:r>
            <a:rPr lang="en-US" sz="1400" b="1" baseline="0">
              <a:solidFill>
                <a:srgbClr val="92D050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Reference</a:t>
          </a:r>
          <a:endParaRPr lang="en-US" sz="1400" b="1">
            <a:solidFill>
              <a:srgbClr val="92D050"/>
            </a:solidFill>
            <a:latin typeface="Segoe UI" panose="020B0502040204020203" pitchFamily="34" charset="0"/>
            <a:ea typeface="+mn-ea"/>
            <a:cs typeface="Segoe UI" panose="020B0502040204020203" pitchFamily="34" charset="0"/>
          </a:endParaRPr>
        </a:p>
      </xdr:txBody>
    </xdr:sp>
    <xdr:clientData/>
  </xdr:twoCellAnchor>
  <xdr:twoCellAnchor>
    <xdr:from>
      <xdr:col>8</xdr:col>
      <xdr:colOff>1026455</xdr:colOff>
      <xdr:row>5</xdr:row>
      <xdr:rowOff>0</xdr:rowOff>
    </xdr:from>
    <xdr:to>
      <xdr:col>11</xdr:col>
      <xdr:colOff>757517</xdr:colOff>
      <xdr:row>6</xdr:row>
      <xdr:rowOff>33618</xdr:rowOff>
    </xdr:to>
    <xdr:sp macro="" textlink="">
      <xdr:nvSpPr>
        <xdr:cNvPr id="11" name="Rectangle à coins arrondis 10"/>
        <xdr:cNvSpPr/>
      </xdr:nvSpPr>
      <xdr:spPr>
        <a:xfrm>
          <a:off x="8680073" y="986118"/>
          <a:ext cx="4157385" cy="246529"/>
        </a:xfrm>
        <a:prstGeom prst="roundRect">
          <a:avLst/>
        </a:prstGeom>
        <a:noFill/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b"/>
        <a:lstStyle/>
        <a:p>
          <a:pPr marL="0" indent="0" algn="l"/>
          <a:r>
            <a:rPr lang="en-US" sz="1050" b="1">
              <a:solidFill>
                <a:sysClr val="windowText" lastClr="000000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Veuillez saisir manuellement la date de reference</a:t>
          </a:r>
        </a:p>
      </xdr:txBody>
    </xdr:sp>
    <xdr:clientData/>
  </xdr:twoCellAnchor>
  <xdr:twoCellAnchor>
    <xdr:from>
      <xdr:col>4</xdr:col>
      <xdr:colOff>1019736</xdr:colOff>
      <xdr:row>0</xdr:row>
      <xdr:rowOff>90705</xdr:rowOff>
    </xdr:from>
    <xdr:to>
      <xdr:col>5</xdr:col>
      <xdr:colOff>836055</xdr:colOff>
      <xdr:row>1</xdr:row>
      <xdr:rowOff>152205</xdr:rowOff>
    </xdr:to>
    <xdr:sp macro="[0]!BascTB" textlink="">
      <xdr:nvSpPr>
        <xdr:cNvPr id="12" name="Rectangle à coins arrondis 11"/>
        <xdr:cNvSpPr/>
      </xdr:nvSpPr>
      <xdr:spPr>
        <a:xfrm>
          <a:off x="4560795" y="90705"/>
          <a:ext cx="1138613" cy="252000"/>
        </a:xfrm>
        <a:prstGeom prst="roundRect">
          <a:avLst/>
        </a:prstGeom>
        <a:noFill/>
        <a:ln>
          <a:solidFill>
            <a:schemeClr val="bg1">
              <a:lumMod val="95000"/>
            </a:schemeClr>
          </a:solidFill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1100" b="1">
              <a:solidFill>
                <a:schemeClr val="bg2">
                  <a:lumMod val="75000"/>
                </a:scheme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5</xdr:col>
      <xdr:colOff>1344832</xdr:colOff>
      <xdr:row>0</xdr:row>
      <xdr:rowOff>104313</xdr:rowOff>
    </xdr:from>
    <xdr:to>
      <xdr:col>7</xdr:col>
      <xdr:colOff>343122</xdr:colOff>
      <xdr:row>1</xdr:row>
      <xdr:rowOff>170905</xdr:rowOff>
    </xdr:to>
    <xdr:sp macro="[0]!BascDettes" textlink="">
      <xdr:nvSpPr>
        <xdr:cNvPr id="13" name="Rectangle à coins arrondis 12"/>
        <xdr:cNvSpPr/>
      </xdr:nvSpPr>
      <xdr:spPr>
        <a:xfrm>
          <a:off x="6208185" y="104313"/>
          <a:ext cx="1138613" cy="257092"/>
        </a:xfrm>
        <a:prstGeom prst="roundRect">
          <a:avLst/>
        </a:prstGeom>
        <a:noFill/>
        <a:ln>
          <a:solidFill>
            <a:schemeClr val="bg1">
              <a:lumMod val="95000"/>
            </a:schemeClr>
          </a:solidFill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1100" b="1">
              <a:solidFill>
                <a:schemeClr val="bg2">
                  <a:lumMod val="75000"/>
                </a:scheme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Dettes</a:t>
          </a:r>
        </a:p>
      </xdr:txBody>
    </xdr:sp>
    <xdr:clientData/>
  </xdr:twoCellAnchor>
  <xdr:twoCellAnchor>
    <xdr:from>
      <xdr:col>8</xdr:col>
      <xdr:colOff>201957</xdr:colOff>
      <xdr:row>0</xdr:row>
      <xdr:rowOff>89647</xdr:rowOff>
    </xdr:from>
    <xdr:to>
      <xdr:col>8</xdr:col>
      <xdr:colOff>1340789</xdr:colOff>
      <xdr:row>1</xdr:row>
      <xdr:rowOff>156241</xdr:rowOff>
    </xdr:to>
    <xdr:sp macro="[0]!BascReglts" textlink="">
      <xdr:nvSpPr>
        <xdr:cNvPr id="14" name="Rectangle à coins arrondis 13"/>
        <xdr:cNvSpPr/>
      </xdr:nvSpPr>
      <xdr:spPr>
        <a:xfrm>
          <a:off x="7855575" y="89647"/>
          <a:ext cx="1138832" cy="257094"/>
        </a:xfrm>
        <a:prstGeom prst="roundRect">
          <a:avLst/>
        </a:prstGeom>
        <a:noFill/>
        <a:ln>
          <a:solidFill>
            <a:schemeClr val="bg1">
              <a:lumMod val="95000"/>
            </a:schemeClr>
          </a:solidFill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1100" b="1">
              <a:solidFill>
                <a:schemeClr val="bg2">
                  <a:lumMod val="75000"/>
                </a:scheme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Règlements</a:t>
          </a:r>
        </a:p>
      </xdr:txBody>
    </xdr:sp>
    <xdr:clientData/>
  </xdr:twoCellAnchor>
  <xdr:twoCellAnchor>
    <xdr:from>
      <xdr:col>9</xdr:col>
      <xdr:colOff>235920</xdr:colOff>
      <xdr:row>0</xdr:row>
      <xdr:rowOff>92177</xdr:rowOff>
    </xdr:from>
    <xdr:to>
      <xdr:col>9</xdr:col>
      <xdr:colOff>1375188</xdr:colOff>
      <xdr:row>1</xdr:row>
      <xdr:rowOff>158771</xdr:rowOff>
    </xdr:to>
    <xdr:sp macro="[0]!BascParametres" textlink="">
      <xdr:nvSpPr>
        <xdr:cNvPr id="15" name="Rectangle à coins arrondis 14"/>
        <xdr:cNvSpPr/>
      </xdr:nvSpPr>
      <xdr:spPr>
        <a:xfrm>
          <a:off x="9503185" y="92177"/>
          <a:ext cx="1139268" cy="257094"/>
        </a:xfrm>
        <a:prstGeom prst="roundRect">
          <a:avLst/>
        </a:prstGeom>
        <a:solidFill>
          <a:schemeClr val="accent1"/>
        </a:solidFill>
        <a:ln>
          <a:solidFill>
            <a:schemeClr val="bg1">
              <a:lumMod val="95000"/>
            </a:schemeClr>
          </a:solidFill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1100" b="1">
              <a:solidFill>
                <a:schemeClr val="bg1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Paramètres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SES" refreshedDate="45826.787432638892" createdVersion="6" refreshedVersion="6" minRefreshableVersion="3" recordCount="115">
  <cacheSource type="worksheet">
    <worksheetSource name="DetteFrs"/>
  </cacheSource>
  <cacheFields count="14">
    <cacheField name="Date Saisie" numFmtId="14">
      <sharedItems containsSemiMixedTypes="0" containsNonDate="0" containsDate="1" containsString="0" minDate="2024-04-24T00:00:00" maxDate="2025-06-19T00:00:00"/>
    </cacheField>
    <cacheField name="N°Facture" numFmtId="0">
      <sharedItems containsMixedTypes="1" containsNumber="1" containsInteger="1" minValue="595" maxValue="9008457042025" count="116">
        <s v="TEST180625"/>
        <n v="25800093"/>
        <n v="25800094"/>
        <n v="25800095"/>
        <n v="25800096"/>
        <n v="25800114"/>
        <n v="25800200"/>
        <n v="25800248"/>
        <n v="25800250"/>
        <n v="25800252"/>
        <n v="25800254"/>
        <n v="25800267"/>
        <n v="25800275"/>
        <n v="25800276"/>
        <n v="25800283"/>
        <n v="25800285"/>
        <n v="25800286"/>
        <n v="25800287"/>
        <n v="25801582"/>
        <n v="25362453"/>
        <n v="25303979"/>
        <n v="25363050"/>
        <n v="25802044"/>
        <n v="25802060"/>
        <n v="25304793"/>
        <n v="25305506"/>
        <n v="7613844474"/>
        <n v="7613846398"/>
        <n v="7613846689"/>
        <n v="200010361938"/>
        <n v="246660281"/>
        <n v="7613845227"/>
        <n v="7613846851"/>
        <n v="7613850835"/>
        <n v="7613850101"/>
        <n v="5618649560"/>
        <n v="5618649561"/>
        <n v="5618648437"/>
        <n v="5618648362"/>
        <n v="5618650083"/>
        <n v="5418646723"/>
        <n v="7523589774"/>
        <n v="7523636818"/>
        <n v="7523692981"/>
        <n v="7523942501"/>
        <n v="7523850660"/>
        <n v="7613846711"/>
        <n v="7613848295"/>
        <n v="7613848679"/>
        <n v="7613848663"/>
        <n v="7613849146"/>
        <s v="F-00275"/>
        <s v="F0001"/>
        <s v="1032/DC/BDS-2025"/>
        <n v="8742835012025"/>
        <n v="86646012025"/>
        <n v="8668567012025"/>
        <n v="8668435012025"/>
        <n v="8714185012025"/>
        <s v="202501A000005436"/>
        <n v="877866012025"/>
        <n v="8777865012025"/>
        <n v="9008457042025"/>
        <s v="202504A00006546"/>
        <n v="30336"/>
        <n v="30373"/>
        <n v="28970"/>
        <n v="29096"/>
        <n v="29095"/>
        <n v="28969"/>
        <n v="29186"/>
        <n v="29187"/>
        <n v="29188"/>
        <n v="29189"/>
        <n v="29222"/>
        <n v="29223"/>
        <n v="29294"/>
        <n v="29293"/>
        <n v="29269"/>
        <n v="29402"/>
        <n v="29403"/>
        <n v="29400"/>
        <n v="29401"/>
        <n v="29394"/>
        <n v="29395"/>
        <n v="29388"/>
        <n v="29389"/>
        <n v="29398"/>
        <n v="29399"/>
        <n v="29390"/>
        <n v="29391"/>
        <n v="29396"/>
        <n v="29392"/>
        <n v="29393"/>
        <n v="29404"/>
        <n v="29405"/>
        <n v="29406"/>
        <n v="29407"/>
        <n v="32644"/>
        <s v="TAB200059096"/>
        <s v="TAB200059098"/>
        <s v="AB2504403"/>
        <s v="AB2504405"/>
        <s v="TAB200059099"/>
        <s v="AB2504406"/>
        <s v="AB2504415"/>
        <n v="32779"/>
        <n v="32780"/>
        <n v="32783"/>
        <n v="32784"/>
        <n v="32741"/>
        <n v="32758"/>
        <n v="32781"/>
        <n v="32782"/>
        <n v="98661231" u="1"/>
        <n v="595" u="1"/>
      </sharedItems>
    </cacheField>
    <cacheField name="Fournisseur" numFmtId="0">
      <sharedItems count="12">
        <s v="CMACGM C OTE D IVOIRE"/>
        <s v="AFRICA GLOBAL LOGISTICS"/>
        <s v="MAERSK COTE D IVOIRE"/>
        <s v="EBUR FIDUCIAIRE"/>
        <s v="SCI YOKAMI"/>
        <s v="SUNU"/>
        <s v="ORANGE COTE D IVOIRE"/>
        <s v="CCIS"/>
        <s v="" u="1"/>
        <s v="GARAGE ST MECANIQUE GENERALE" u="1"/>
        <s v="CIE" u="1"/>
        <s v="MSC" u="1"/>
      </sharedItems>
    </cacheField>
    <cacheField name="Catégorie" numFmtId="0">
      <sharedItems containsBlank="1" count="3">
        <s v="FRS METIERS"/>
        <s v="FRS HORS METIERS"/>
        <m u="1"/>
      </sharedItems>
    </cacheField>
    <cacheField name="N°Tiers" numFmtId="0">
      <sharedItems containsSemiMixedTypes="0" containsString="0" containsNumber="1" containsInteger="1" minValue="4011100001" maxValue="4011200013"/>
    </cacheField>
    <cacheField name="Net à Payer" numFmtId="164">
      <sharedItems containsSemiMixedTypes="0" containsString="0" containsNumber="1" containsInteger="1" minValue="10000" maxValue="100900000"/>
    </cacheField>
    <cacheField name="Montant Payé" numFmtId="164">
      <sharedItems containsMixedTypes="1" containsNumber="1" containsInteger="1" minValue="10000" maxValue="37283204"/>
    </cacheField>
    <cacheField name="Solde" numFmtId="164">
      <sharedItems containsSemiMixedTypes="0" containsString="0" containsNumber="1" containsInteger="1" minValue="0" maxValue="100900000" count="40">
        <n v="100900000"/>
        <n v="426400"/>
        <n v="698100"/>
        <n v="1745250"/>
        <n v="639600"/>
        <n v="349050"/>
        <n v="350000"/>
        <n v="175000"/>
        <n v="280000"/>
        <n v="105000"/>
        <n v="140000"/>
        <n v="70000"/>
        <n v="1272078"/>
        <n v="855500"/>
        <n v="200000"/>
        <n v="495600"/>
        <n v="1211520"/>
        <n v="177000"/>
        <n v="206500"/>
        <n v="1003000"/>
        <n v="911700"/>
        <n v="118000"/>
        <n v="295000"/>
        <n v="354000"/>
        <n v="0"/>
        <n v="6250000"/>
        <n v="236140"/>
        <n v="713420"/>
        <n v="265500"/>
        <n v="59000"/>
        <n v="158260"/>
        <n v="643040"/>
        <n v="236000"/>
        <n v="80380"/>
        <n v="391900"/>
        <n v="472280"/>
        <n v="1180700"/>
        <n v="474780"/>
        <n v="29500"/>
        <n v="238640"/>
      </sharedItems>
    </cacheField>
    <cacheField name="Échéance" numFmtId="14">
      <sharedItems containsSemiMixedTypes="0" containsNonDate="0" containsDate="1" containsString="0" minDate="2024-12-25T00:00:00" maxDate="2025-08-19T00:00:00"/>
    </cacheField>
    <cacheField name="Retard" numFmtId="1">
      <sharedItems containsMixedTypes="1" containsNumber="1" containsInteger="1" minValue="-61" maxValue="139"/>
    </cacheField>
    <cacheField name="Satut" numFmtId="0">
      <sharedItems containsBlank="1" count="7">
        <s v="Non Echue"/>
        <s v="Echue &gt; 90"/>
        <s v="Echue [61;90]"/>
        <s v="Echue [31;60]"/>
        <s v="Payé"/>
        <m u="1"/>
        <s v="Non échue" u="1"/>
      </sharedItems>
    </cacheField>
    <cacheField name="Observations" numFmtId="0">
      <sharedItems containsNonDate="0" containsString="0" containsBlank="1"/>
    </cacheField>
    <cacheField name="Mois" numFmtId="0">
      <sharedItems count="6">
        <s v="juin"/>
        <s v="février"/>
        <s v="mars"/>
        <s v="avril"/>
        <s v="mai"/>
        <s v="janvier"/>
      </sharedItems>
    </cacheField>
    <cacheField name="Années" numFmtId="0">
      <sharedItems count="2">
        <s v="2025"/>
        <s v="2024"/>
      </sharedItems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15">
  <r>
    <d v="2025-06-18T00:00:00"/>
    <x v="0"/>
    <x v="0"/>
    <x v="0"/>
    <n v="4011100004"/>
    <n v="100900000"/>
    <s v="0"/>
    <x v="0"/>
    <d v="2025-08-18T00:00:00"/>
    <n v="-61"/>
    <x v="0"/>
    <m/>
    <x v="0"/>
    <x v="0"/>
  </r>
  <r>
    <d v="2025-02-07T00:00:00"/>
    <x v="1"/>
    <x v="1"/>
    <x v="0"/>
    <n v="4011100001"/>
    <n v="426400"/>
    <s v="0"/>
    <x v="1"/>
    <d v="2025-02-07T00:00:00"/>
    <n v="131"/>
    <x v="1"/>
    <m/>
    <x v="1"/>
    <x v="0"/>
  </r>
  <r>
    <d v="2025-02-07T00:00:00"/>
    <x v="2"/>
    <x v="1"/>
    <x v="0"/>
    <n v="4011100001"/>
    <n v="426400"/>
    <s v="0"/>
    <x v="1"/>
    <d v="2025-02-07T00:00:00"/>
    <n v="131"/>
    <x v="1"/>
    <m/>
    <x v="1"/>
    <x v="0"/>
  </r>
  <r>
    <d v="2025-02-07T00:00:00"/>
    <x v="3"/>
    <x v="1"/>
    <x v="0"/>
    <n v="4011100001"/>
    <n v="698100"/>
    <s v="0"/>
    <x v="2"/>
    <d v="2025-02-07T00:00:00"/>
    <n v="131"/>
    <x v="1"/>
    <m/>
    <x v="1"/>
    <x v="0"/>
  </r>
  <r>
    <d v="2025-02-07T00:00:00"/>
    <x v="4"/>
    <x v="1"/>
    <x v="0"/>
    <n v="4011100001"/>
    <n v="1745250"/>
    <s v="0"/>
    <x v="3"/>
    <d v="2025-02-07T00:00:00"/>
    <n v="131"/>
    <x v="1"/>
    <m/>
    <x v="1"/>
    <x v="0"/>
  </r>
  <r>
    <d v="2025-02-07T00:00:00"/>
    <x v="5"/>
    <x v="1"/>
    <x v="0"/>
    <n v="4011100001"/>
    <n v="639600"/>
    <s v="0"/>
    <x v="4"/>
    <d v="2025-02-07T00:00:00"/>
    <n v="131"/>
    <x v="1"/>
    <m/>
    <x v="1"/>
    <x v="0"/>
  </r>
  <r>
    <d v="2025-02-07T00:00:00"/>
    <x v="6"/>
    <x v="1"/>
    <x v="0"/>
    <n v="4011100001"/>
    <n v="349050"/>
    <s v="0"/>
    <x v="5"/>
    <d v="2025-02-07T00:00:00"/>
    <n v="131"/>
    <x v="1"/>
    <m/>
    <x v="1"/>
    <x v="0"/>
  </r>
  <r>
    <d v="2025-02-07T00:00:00"/>
    <x v="7"/>
    <x v="1"/>
    <x v="0"/>
    <n v="4011100001"/>
    <n v="350000"/>
    <s v="0"/>
    <x v="6"/>
    <d v="2025-02-07T00:00:00"/>
    <n v="131"/>
    <x v="1"/>
    <m/>
    <x v="1"/>
    <x v="0"/>
  </r>
  <r>
    <d v="2025-02-07T00:00:00"/>
    <x v="8"/>
    <x v="1"/>
    <x v="0"/>
    <n v="4011100001"/>
    <n v="175000"/>
    <s v="0"/>
    <x v="7"/>
    <d v="2025-02-07T00:00:00"/>
    <n v="131"/>
    <x v="1"/>
    <m/>
    <x v="1"/>
    <x v="0"/>
  </r>
  <r>
    <d v="2025-02-07T00:00:00"/>
    <x v="9"/>
    <x v="1"/>
    <x v="0"/>
    <n v="4011100001"/>
    <n v="280000"/>
    <s v="0"/>
    <x v="8"/>
    <d v="2025-02-07T00:00:00"/>
    <n v="131"/>
    <x v="1"/>
    <m/>
    <x v="1"/>
    <x v="0"/>
  </r>
  <r>
    <d v="2025-02-07T00:00:00"/>
    <x v="10"/>
    <x v="1"/>
    <x v="0"/>
    <n v="4011100001"/>
    <n v="105000"/>
    <s v="0"/>
    <x v="9"/>
    <d v="2025-02-07T00:00:00"/>
    <n v="131"/>
    <x v="1"/>
    <m/>
    <x v="1"/>
    <x v="0"/>
  </r>
  <r>
    <d v="2025-02-07T00:00:00"/>
    <x v="11"/>
    <x v="1"/>
    <x v="0"/>
    <n v="4011100001"/>
    <n v="175000"/>
    <s v="0"/>
    <x v="7"/>
    <d v="2025-02-07T00:00:00"/>
    <n v="131"/>
    <x v="1"/>
    <m/>
    <x v="1"/>
    <x v="0"/>
  </r>
  <r>
    <d v="2025-02-07T00:00:00"/>
    <x v="12"/>
    <x v="1"/>
    <x v="0"/>
    <n v="4011100001"/>
    <n v="140000"/>
    <s v="0"/>
    <x v="10"/>
    <d v="2025-02-07T00:00:00"/>
    <n v="131"/>
    <x v="1"/>
    <m/>
    <x v="1"/>
    <x v="0"/>
  </r>
  <r>
    <d v="2025-02-07T00:00:00"/>
    <x v="13"/>
    <x v="1"/>
    <x v="0"/>
    <n v="4011100001"/>
    <n v="175000"/>
    <s v="0"/>
    <x v="7"/>
    <d v="2025-02-07T00:00:00"/>
    <n v="131"/>
    <x v="1"/>
    <m/>
    <x v="1"/>
    <x v="0"/>
  </r>
  <r>
    <d v="2025-02-07T00:00:00"/>
    <x v="14"/>
    <x v="1"/>
    <x v="0"/>
    <n v="4011100001"/>
    <n v="175000"/>
    <s v="0"/>
    <x v="7"/>
    <d v="2025-02-07T00:00:00"/>
    <n v="131"/>
    <x v="1"/>
    <m/>
    <x v="1"/>
    <x v="0"/>
  </r>
  <r>
    <d v="2025-02-07T00:00:00"/>
    <x v="15"/>
    <x v="1"/>
    <x v="0"/>
    <n v="4011100001"/>
    <n v="105000"/>
    <s v="0"/>
    <x v="9"/>
    <d v="2025-02-07T00:00:00"/>
    <n v="131"/>
    <x v="1"/>
    <m/>
    <x v="1"/>
    <x v="0"/>
  </r>
  <r>
    <d v="2025-02-07T00:00:00"/>
    <x v="16"/>
    <x v="1"/>
    <x v="0"/>
    <n v="4011100001"/>
    <n v="140000"/>
    <s v="0"/>
    <x v="10"/>
    <d v="2025-02-07T00:00:00"/>
    <n v="131"/>
    <x v="1"/>
    <m/>
    <x v="1"/>
    <x v="0"/>
  </r>
  <r>
    <d v="2025-02-07T00:00:00"/>
    <x v="17"/>
    <x v="1"/>
    <x v="0"/>
    <n v="4011100001"/>
    <n v="70000"/>
    <s v="0"/>
    <x v="11"/>
    <d v="2025-02-07T00:00:00"/>
    <n v="131"/>
    <x v="1"/>
    <m/>
    <x v="1"/>
    <x v="0"/>
  </r>
  <r>
    <d v="2025-03-18T00:00:00"/>
    <x v="18"/>
    <x v="1"/>
    <x v="0"/>
    <n v="4011100001"/>
    <n v="350000"/>
    <s v="0"/>
    <x v="6"/>
    <d v="2025-03-19T00:00:00"/>
    <n v="91"/>
    <x v="1"/>
    <m/>
    <x v="2"/>
    <x v="0"/>
  </r>
  <r>
    <d v="2025-03-20T00:00:00"/>
    <x v="19"/>
    <x v="1"/>
    <x v="0"/>
    <n v="4011100001"/>
    <n v="1272078"/>
    <s v="0"/>
    <x v="12"/>
    <d v="2025-03-30T00:00:00"/>
    <n v="80"/>
    <x v="2"/>
    <m/>
    <x v="2"/>
    <x v="0"/>
  </r>
  <r>
    <d v="2025-04-08T00:00:00"/>
    <x v="20"/>
    <x v="1"/>
    <x v="0"/>
    <n v="4011100001"/>
    <n v="855500"/>
    <s v="0"/>
    <x v="13"/>
    <d v="2025-04-08T00:00:00"/>
    <n v="71"/>
    <x v="2"/>
    <m/>
    <x v="3"/>
    <x v="0"/>
  </r>
  <r>
    <d v="2025-04-09T00:00:00"/>
    <x v="21"/>
    <x v="1"/>
    <x v="0"/>
    <n v="4011100001"/>
    <n v="200000"/>
    <s v="0"/>
    <x v="14"/>
    <d v="2025-04-09T00:00:00"/>
    <n v="70"/>
    <x v="2"/>
    <m/>
    <x v="3"/>
    <x v="0"/>
  </r>
  <r>
    <d v="2025-04-10T00:00:00"/>
    <x v="22"/>
    <x v="1"/>
    <x v="0"/>
    <n v="4011100001"/>
    <n v="280000"/>
    <s v="0"/>
    <x v="8"/>
    <d v="2025-04-14T00:00:00"/>
    <n v="65"/>
    <x v="2"/>
    <m/>
    <x v="3"/>
    <x v="0"/>
  </r>
  <r>
    <d v="2025-04-11T00:00:00"/>
    <x v="23"/>
    <x v="1"/>
    <x v="0"/>
    <n v="4011100001"/>
    <n v="175000"/>
    <s v="0"/>
    <x v="7"/>
    <d v="2025-04-14T00:00:00"/>
    <n v="65"/>
    <x v="2"/>
    <m/>
    <x v="3"/>
    <x v="0"/>
  </r>
  <r>
    <d v="2025-05-01T00:00:00"/>
    <x v="24"/>
    <x v="1"/>
    <x v="0"/>
    <n v="4011100001"/>
    <n v="495600"/>
    <s v="0"/>
    <x v="15"/>
    <d v="2025-04-24T00:00:00"/>
    <n v="55"/>
    <x v="3"/>
    <m/>
    <x v="4"/>
    <x v="0"/>
  </r>
  <r>
    <d v="2025-05-08T00:00:00"/>
    <x v="25"/>
    <x v="1"/>
    <x v="0"/>
    <n v="4011100001"/>
    <n v="1211520"/>
    <s v="0"/>
    <x v="16"/>
    <d v="2025-05-08T00:00:00"/>
    <n v="41"/>
    <x v="3"/>
    <m/>
    <x v="4"/>
    <x v="0"/>
  </r>
  <r>
    <d v="2025-01-30T00:00:00"/>
    <x v="26"/>
    <x v="2"/>
    <x v="0"/>
    <n v="4011100006"/>
    <n v="177000"/>
    <s v="0"/>
    <x v="17"/>
    <d v="2025-01-30T00:00:00"/>
    <n v="139"/>
    <x v="1"/>
    <m/>
    <x v="5"/>
    <x v="0"/>
  </r>
  <r>
    <d v="2025-01-30T00:00:00"/>
    <x v="27"/>
    <x v="2"/>
    <x v="0"/>
    <n v="4011100006"/>
    <n v="206500"/>
    <s v="0"/>
    <x v="18"/>
    <d v="2025-01-30T00:00:00"/>
    <n v="139"/>
    <x v="1"/>
    <m/>
    <x v="5"/>
    <x v="0"/>
  </r>
  <r>
    <d v="2025-01-30T00:00:00"/>
    <x v="28"/>
    <x v="2"/>
    <x v="0"/>
    <n v="4011100006"/>
    <n v="177000"/>
    <s v="0"/>
    <x v="17"/>
    <d v="2025-01-30T00:00:00"/>
    <n v="139"/>
    <x v="1"/>
    <m/>
    <x v="5"/>
    <x v="0"/>
  </r>
  <r>
    <d v="2025-01-30T00:00:00"/>
    <x v="29"/>
    <x v="2"/>
    <x v="0"/>
    <n v="4011100006"/>
    <n v="1003000"/>
    <s v="0"/>
    <x v="19"/>
    <d v="2025-01-30T00:00:00"/>
    <n v="139"/>
    <x v="1"/>
    <m/>
    <x v="5"/>
    <x v="0"/>
  </r>
  <r>
    <d v="2025-01-30T00:00:00"/>
    <x v="30"/>
    <x v="2"/>
    <x v="0"/>
    <n v="4011100006"/>
    <n v="911700"/>
    <s v="0"/>
    <x v="20"/>
    <d v="2025-01-30T00:00:00"/>
    <n v="139"/>
    <x v="1"/>
    <m/>
    <x v="5"/>
    <x v="0"/>
  </r>
  <r>
    <d v="2025-01-30T00:00:00"/>
    <x v="29"/>
    <x v="2"/>
    <x v="0"/>
    <n v="4011100006"/>
    <n v="118000"/>
    <s v="0"/>
    <x v="21"/>
    <d v="2025-01-30T00:00:00"/>
    <n v="139"/>
    <x v="1"/>
    <m/>
    <x v="5"/>
    <x v="0"/>
  </r>
  <r>
    <d v="2025-01-30T00:00:00"/>
    <x v="31"/>
    <x v="2"/>
    <x v="0"/>
    <n v="4011100006"/>
    <n v="295000"/>
    <s v="0"/>
    <x v="22"/>
    <d v="2025-01-30T00:00:00"/>
    <n v="139"/>
    <x v="1"/>
    <m/>
    <x v="5"/>
    <x v="0"/>
  </r>
  <r>
    <d v="2025-01-30T00:00:00"/>
    <x v="32"/>
    <x v="2"/>
    <x v="0"/>
    <n v="4011100006"/>
    <n v="354000"/>
    <s v="0"/>
    <x v="23"/>
    <d v="2025-01-30T00:00:00"/>
    <n v="139"/>
    <x v="1"/>
    <m/>
    <x v="5"/>
    <x v="0"/>
  </r>
  <r>
    <d v="2025-02-20T00:00:00"/>
    <x v="33"/>
    <x v="2"/>
    <x v="0"/>
    <n v="4011100006"/>
    <n v="141600"/>
    <n v="141600"/>
    <x v="24"/>
    <d v="2025-02-20T00:00:00"/>
    <s v=""/>
    <x v="4"/>
    <m/>
    <x v="1"/>
    <x v="0"/>
  </r>
  <r>
    <d v="2025-02-20T00:00:00"/>
    <x v="34"/>
    <x v="2"/>
    <x v="0"/>
    <n v="4011100006"/>
    <n v="141600"/>
    <n v="141600"/>
    <x v="24"/>
    <d v="2025-02-20T00:00:00"/>
    <s v=""/>
    <x v="4"/>
    <m/>
    <x v="1"/>
    <x v="0"/>
  </r>
  <r>
    <d v="2025-02-05T00:00:00"/>
    <x v="35"/>
    <x v="2"/>
    <x v="0"/>
    <n v="4011100006"/>
    <n v="484220"/>
    <n v="484220"/>
    <x v="24"/>
    <d v="2025-02-07T00:00:00"/>
    <s v=""/>
    <x v="4"/>
    <m/>
    <x v="1"/>
    <x v="0"/>
  </r>
  <r>
    <d v="2025-02-05T00:00:00"/>
    <x v="36"/>
    <x v="2"/>
    <x v="0"/>
    <n v="4011100006"/>
    <n v="70740"/>
    <n v="70740"/>
    <x v="24"/>
    <d v="2025-02-07T00:00:00"/>
    <s v=""/>
    <x v="4"/>
    <m/>
    <x v="1"/>
    <x v="0"/>
  </r>
  <r>
    <d v="2025-02-05T00:00:00"/>
    <x v="37"/>
    <x v="2"/>
    <x v="0"/>
    <n v="4011100006"/>
    <n v="1387000"/>
    <n v="1387000"/>
    <x v="24"/>
    <d v="2025-02-07T00:00:00"/>
    <s v=""/>
    <x v="4"/>
    <m/>
    <x v="1"/>
    <x v="0"/>
  </r>
  <r>
    <d v="2025-02-05T00:00:00"/>
    <x v="38"/>
    <x v="2"/>
    <x v="0"/>
    <n v="4011100006"/>
    <n v="50000"/>
    <n v="50000"/>
    <x v="24"/>
    <d v="2025-02-07T00:00:00"/>
    <s v=""/>
    <x v="4"/>
    <m/>
    <x v="1"/>
    <x v="0"/>
  </r>
  <r>
    <d v="2025-02-05T00:00:00"/>
    <x v="39"/>
    <x v="2"/>
    <x v="0"/>
    <n v="4011100006"/>
    <n v="10000"/>
    <n v="10000"/>
    <x v="24"/>
    <d v="2025-02-07T00:00:00"/>
    <s v=""/>
    <x v="4"/>
    <m/>
    <x v="1"/>
    <x v="0"/>
  </r>
  <r>
    <d v="2025-02-05T00:00:00"/>
    <x v="40"/>
    <x v="2"/>
    <x v="0"/>
    <n v="4011100006"/>
    <n v="43665"/>
    <n v="43665"/>
    <x v="24"/>
    <d v="2025-02-07T00:00:00"/>
    <s v=""/>
    <x v="4"/>
    <m/>
    <x v="1"/>
    <x v="0"/>
  </r>
  <r>
    <d v="2025-02-06T00:00:00"/>
    <x v="41"/>
    <x v="2"/>
    <x v="0"/>
    <n v="4011100006"/>
    <n v="60000"/>
    <n v="60000"/>
    <x v="24"/>
    <d v="2025-02-07T00:00:00"/>
    <s v=""/>
    <x v="4"/>
    <m/>
    <x v="1"/>
    <x v="0"/>
  </r>
  <r>
    <d v="2025-02-06T00:00:00"/>
    <x v="42"/>
    <x v="2"/>
    <x v="0"/>
    <n v="4011100006"/>
    <n v="37500"/>
    <n v="37500"/>
    <x v="24"/>
    <d v="2025-02-07T00:00:00"/>
    <s v=""/>
    <x v="4"/>
    <m/>
    <x v="1"/>
    <x v="0"/>
  </r>
  <r>
    <d v="2025-02-06T00:00:00"/>
    <x v="43"/>
    <x v="2"/>
    <x v="0"/>
    <n v="4011100006"/>
    <n v="37500"/>
    <n v="37500"/>
    <x v="24"/>
    <d v="2025-02-07T00:00:00"/>
    <s v=""/>
    <x v="4"/>
    <m/>
    <x v="1"/>
    <x v="0"/>
  </r>
  <r>
    <d v="2025-02-06T00:00:00"/>
    <x v="44"/>
    <x v="2"/>
    <x v="0"/>
    <n v="4011100006"/>
    <n v="92500"/>
    <n v="92500"/>
    <x v="24"/>
    <d v="2025-02-07T00:00:00"/>
    <s v=""/>
    <x v="4"/>
    <m/>
    <x v="1"/>
    <x v="0"/>
  </r>
  <r>
    <d v="2025-02-06T00:00:00"/>
    <x v="45"/>
    <x v="2"/>
    <x v="0"/>
    <n v="4011100006"/>
    <n v="47200"/>
    <n v="47200"/>
    <x v="24"/>
    <d v="2025-02-07T00:00:00"/>
    <s v=""/>
    <x v="4"/>
    <m/>
    <x v="1"/>
    <x v="0"/>
  </r>
  <r>
    <d v="2025-02-06T00:00:00"/>
    <x v="46"/>
    <x v="2"/>
    <x v="0"/>
    <n v="4011100006"/>
    <n v="501983"/>
    <n v="501983"/>
    <x v="24"/>
    <d v="2025-02-07T00:00:00"/>
    <s v=""/>
    <x v="4"/>
    <m/>
    <x v="1"/>
    <x v="0"/>
  </r>
  <r>
    <d v="2025-02-06T00:00:00"/>
    <x v="47"/>
    <x v="2"/>
    <x v="0"/>
    <n v="4011100006"/>
    <n v="5664000"/>
    <n v="5664000"/>
    <x v="24"/>
    <d v="2025-02-07T00:00:00"/>
    <s v=""/>
    <x v="4"/>
    <m/>
    <x v="1"/>
    <x v="0"/>
  </r>
  <r>
    <d v="2025-02-06T00:00:00"/>
    <x v="48"/>
    <x v="2"/>
    <x v="0"/>
    <n v="4011100006"/>
    <n v="247800"/>
    <n v="247800"/>
    <x v="24"/>
    <d v="2025-02-07T00:00:00"/>
    <s v=""/>
    <x v="4"/>
    <m/>
    <x v="1"/>
    <x v="0"/>
  </r>
  <r>
    <d v="2025-02-06T00:00:00"/>
    <x v="49"/>
    <x v="2"/>
    <x v="0"/>
    <n v="4011100006"/>
    <n v="247800"/>
    <n v="247800"/>
    <x v="24"/>
    <d v="2025-02-07T00:00:00"/>
    <s v=""/>
    <x v="4"/>
    <m/>
    <x v="1"/>
    <x v="0"/>
  </r>
  <r>
    <d v="2025-02-06T00:00:00"/>
    <x v="50"/>
    <x v="2"/>
    <x v="0"/>
    <n v="4011100006"/>
    <n v="160480"/>
    <n v="160480"/>
    <x v="24"/>
    <d v="2025-02-07T00:00:00"/>
    <s v=""/>
    <x v="4"/>
    <m/>
    <x v="1"/>
    <x v="0"/>
  </r>
  <r>
    <d v="2025-03-28T00:00:00"/>
    <x v="51"/>
    <x v="3"/>
    <x v="1"/>
    <n v="4011200001"/>
    <n v="6250000"/>
    <s v="0"/>
    <x v="25"/>
    <d v="2025-03-28T00:00:00"/>
    <n v="82"/>
    <x v="2"/>
    <m/>
    <x v="2"/>
    <x v="0"/>
  </r>
  <r>
    <d v="2025-01-17T00:00:00"/>
    <x v="52"/>
    <x v="4"/>
    <x v="1"/>
    <n v="4011200004"/>
    <n v="1650000"/>
    <n v="1650000"/>
    <x v="24"/>
    <d v="2025-01-10T00:00:00"/>
    <s v=""/>
    <x v="4"/>
    <m/>
    <x v="5"/>
    <x v="0"/>
  </r>
  <r>
    <d v="2025-02-10T00:00:00"/>
    <x v="53"/>
    <x v="5"/>
    <x v="1"/>
    <n v="4011200007"/>
    <n v="37283204"/>
    <n v="37283204"/>
    <x v="24"/>
    <d v="2025-03-01T00:00:00"/>
    <s v=""/>
    <x v="4"/>
    <m/>
    <x v="1"/>
    <x v="0"/>
  </r>
  <r>
    <d v="2025-01-01T00:00:00"/>
    <x v="54"/>
    <x v="6"/>
    <x v="1"/>
    <n v="4011200013"/>
    <n v="85000"/>
    <n v="85000"/>
    <x v="24"/>
    <d v="2025-01-25T00:00:00"/>
    <s v=""/>
    <x v="4"/>
    <m/>
    <x v="5"/>
    <x v="0"/>
  </r>
  <r>
    <d v="2025-01-20T00:00:00"/>
    <x v="55"/>
    <x v="6"/>
    <x v="1"/>
    <n v="4011200013"/>
    <n v="118999"/>
    <n v="118999"/>
    <x v="24"/>
    <d v="2025-01-25T00:00:00"/>
    <s v=""/>
    <x v="4"/>
    <m/>
    <x v="5"/>
    <x v="0"/>
  </r>
  <r>
    <d v="2025-01-20T00:00:00"/>
    <x v="56"/>
    <x v="6"/>
    <x v="1"/>
    <n v="4011200013"/>
    <n v="56398"/>
    <n v="56398"/>
    <x v="24"/>
    <d v="2025-01-25T00:00:00"/>
    <s v=""/>
    <x v="4"/>
    <m/>
    <x v="5"/>
    <x v="0"/>
  </r>
  <r>
    <d v="2025-01-20T00:00:00"/>
    <x v="57"/>
    <x v="6"/>
    <x v="1"/>
    <n v="4011200013"/>
    <n v="30763"/>
    <n v="30763"/>
    <x v="24"/>
    <d v="2025-01-25T00:00:00"/>
    <s v=""/>
    <x v="4"/>
    <m/>
    <x v="5"/>
    <x v="0"/>
  </r>
  <r>
    <d v="2025-01-20T00:00:00"/>
    <x v="58"/>
    <x v="6"/>
    <x v="1"/>
    <n v="4011200013"/>
    <n v="25000"/>
    <n v="25000"/>
    <x v="24"/>
    <d v="2025-01-25T00:00:00"/>
    <s v=""/>
    <x v="4"/>
    <m/>
    <x v="5"/>
    <x v="0"/>
  </r>
  <r>
    <d v="2025-01-20T00:00:00"/>
    <x v="59"/>
    <x v="6"/>
    <x v="1"/>
    <n v="4011200013"/>
    <n v="12100"/>
    <n v="12100"/>
    <x v="24"/>
    <d v="2025-01-25T00:00:00"/>
    <s v=""/>
    <x v="4"/>
    <m/>
    <x v="5"/>
    <x v="0"/>
  </r>
  <r>
    <d v="2025-01-20T00:00:00"/>
    <x v="60"/>
    <x v="6"/>
    <x v="1"/>
    <n v="4011200013"/>
    <n v="76905"/>
    <n v="76905"/>
    <x v="24"/>
    <d v="2024-12-25T00:00:00"/>
    <s v=""/>
    <x v="4"/>
    <m/>
    <x v="5"/>
    <x v="0"/>
  </r>
  <r>
    <d v="2025-01-20T00:00:00"/>
    <x v="61"/>
    <x v="6"/>
    <x v="1"/>
    <n v="4011200013"/>
    <n v="2168755"/>
    <n v="2168755"/>
    <x v="24"/>
    <d v="2025-01-25T00:00:00"/>
    <s v=""/>
    <x v="4"/>
    <m/>
    <x v="5"/>
    <x v="0"/>
  </r>
  <r>
    <d v="2025-04-10T00:00:00"/>
    <x v="62"/>
    <x v="6"/>
    <x v="1"/>
    <n v="4011200013"/>
    <n v="118999"/>
    <n v="118999"/>
    <x v="24"/>
    <d v="2025-04-10T00:00:00"/>
    <s v=""/>
    <x v="4"/>
    <m/>
    <x v="3"/>
    <x v="0"/>
  </r>
  <r>
    <d v="2025-04-10T00:00:00"/>
    <x v="63"/>
    <x v="6"/>
    <x v="1"/>
    <n v="4011200013"/>
    <n v="12100"/>
    <n v="12100"/>
    <x v="24"/>
    <d v="2025-04-10T00:00:00"/>
    <s v=""/>
    <x v="4"/>
    <m/>
    <x v="3"/>
    <x v="0"/>
  </r>
  <r>
    <d v="2025-03-28T00:00:00"/>
    <x v="64"/>
    <x v="7"/>
    <x v="0"/>
    <n v="4011100499"/>
    <n v="50000"/>
    <n v="50000"/>
    <x v="24"/>
    <d v="2025-03-28T00:00:00"/>
    <s v=""/>
    <x v="4"/>
    <m/>
    <x v="2"/>
    <x v="0"/>
  </r>
  <r>
    <d v="2025-03-28T00:00:00"/>
    <x v="65"/>
    <x v="7"/>
    <x v="0"/>
    <n v="4011100499"/>
    <n v="197500"/>
    <n v="197500"/>
    <x v="24"/>
    <d v="2025-03-28T00:00:00"/>
    <s v=""/>
    <x v="4"/>
    <m/>
    <x v="2"/>
    <x v="0"/>
  </r>
  <r>
    <d v="2025-04-15T00:00:00"/>
    <x v="66"/>
    <x v="7"/>
    <x v="0"/>
    <n v="4011100499"/>
    <n v="236140"/>
    <s v="0"/>
    <x v="26"/>
    <d v="2025-04-25T00:00:00"/>
    <n v="54"/>
    <x v="3"/>
    <m/>
    <x v="3"/>
    <x v="0"/>
  </r>
  <r>
    <d v="2025-04-16T00:00:00"/>
    <x v="67"/>
    <x v="7"/>
    <x v="0"/>
    <n v="4011100499"/>
    <n v="713420"/>
    <s v="0"/>
    <x v="27"/>
    <d v="2025-04-26T00:00:00"/>
    <n v="53"/>
    <x v="3"/>
    <m/>
    <x v="3"/>
    <x v="0"/>
  </r>
  <r>
    <d v="2025-04-16T00:00:00"/>
    <x v="68"/>
    <x v="7"/>
    <x v="0"/>
    <n v="4011100499"/>
    <n v="265500"/>
    <s v="0"/>
    <x v="28"/>
    <d v="2025-04-26T00:00:00"/>
    <n v="53"/>
    <x v="3"/>
    <m/>
    <x v="3"/>
    <x v="0"/>
  </r>
  <r>
    <d v="2025-04-17T00:00:00"/>
    <x v="69"/>
    <x v="7"/>
    <x v="0"/>
    <n v="4011100499"/>
    <n v="59000"/>
    <s v="0"/>
    <x v="29"/>
    <d v="2025-04-25T00:00:00"/>
    <n v="54"/>
    <x v="3"/>
    <m/>
    <x v="3"/>
    <x v="0"/>
  </r>
  <r>
    <d v="2025-04-17T00:00:00"/>
    <x v="70"/>
    <x v="7"/>
    <x v="0"/>
    <n v="4011100499"/>
    <n v="158260"/>
    <s v="0"/>
    <x v="30"/>
    <d v="2025-04-27T00:00:00"/>
    <n v="52"/>
    <x v="3"/>
    <m/>
    <x v="3"/>
    <x v="0"/>
  </r>
  <r>
    <d v="2025-04-17T00:00:00"/>
    <x v="71"/>
    <x v="7"/>
    <x v="0"/>
    <n v="4011100499"/>
    <n v="59000"/>
    <s v="0"/>
    <x v="29"/>
    <d v="2025-04-27T00:00:00"/>
    <n v="52"/>
    <x v="3"/>
    <m/>
    <x v="3"/>
    <x v="0"/>
  </r>
  <r>
    <d v="2025-04-17T00:00:00"/>
    <x v="72"/>
    <x v="7"/>
    <x v="0"/>
    <n v="4011100499"/>
    <n v="236140"/>
    <s v="0"/>
    <x v="26"/>
    <d v="2025-04-27T00:00:00"/>
    <n v="52"/>
    <x v="3"/>
    <m/>
    <x v="3"/>
    <x v="0"/>
  </r>
  <r>
    <d v="2025-04-17T00:00:00"/>
    <x v="73"/>
    <x v="7"/>
    <x v="0"/>
    <n v="4011100499"/>
    <n v="59000"/>
    <s v="0"/>
    <x v="29"/>
    <d v="2025-04-27T00:00:00"/>
    <n v="52"/>
    <x v="3"/>
    <m/>
    <x v="3"/>
    <x v="0"/>
  </r>
  <r>
    <d v="2025-04-17T00:00:00"/>
    <x v="74"/>
    <x v="7"/>
    <x v="0"/>
    <n v="4011100499"/>
    <n v="643040"/>
    <s v="0"/>
    <x v="31"/>
    <d v="2025-04-27T00:00:00"/>
    <n v="52"/>
    <x v="3"/>
    <m/>
    <x v="3"/>
    <x v="0"/>
  </r>
  <r>
    <d v="2025-04-17T00:00:00"/>
    <x v="75"/>
    <x v="7"/>
    <x v="0"/>
    <n v="4011100499"/>
    <n v="236000"/>
    <s v="0"/>
    <x v="32"/>
    <d v="2025-04-27T00:00:00"/>
    <n v="52"/>
    <x v="3"/>
    <m/>
    <x v="3"/>
    <x v="0"/>
  </r>
  <r>
    <d v="2025-04-18T00:00:00"/>
    <x v="76"/>
    <x v="7"/>
    <x v="0"/>
    <n v="4011100499"/>
    <n v="158260"/>
    <s v="0"/>
    <x v="30"/>
    <d v="2025-04-18T00:00:00"/>
    <n v="61"/>
    <x v="2"/>
    <m/>
    <x v="3"/>
    <x v="0"/>
  </r>
  <r>
    <d v="2025-04-18T00:00:00"/>
    <x v="77"/>
    <x v="7"/>
    <x v="0"/>
    <n v="4011100499"/>
    <n v="59000"/>
    <s v="0"/>
    <x v="29"/>
    <d v="2025-04-18T00:00:00"/>
    <n v="61"/>
    <x v="2"/>
    <m/>
    <x v="3"/>
    <x v="0"/>
  </r>
  <r>
    <d v="2025-04-18T00:00:00"/>
    <x v="78"/>
    <x v="7"/>
    <x v="0"/>
    <n v="4011100499"/>
    <n v="80380"/>
    <s v="0"/>
    <x v="33"/>
    <d v="2025-04-18T00:00:00"/>
    <n v="61"/>
    <x v="2"/>
    <m/>
    <x v="3"/>
    <x v="0"/>
  </r>
  <r>
    <d v="2025-04-22T00:00:00"/>
    <x v="79"/>
    <x v="7"/>
    <x v="0"/>
    <n v="4011100499"/>
    <n v="236140"/>
    <s v="0"/>
    <x v="26"/>
    <d v="2025-05-02T00:00:00"/>
    <n v="47"/>
    <x v="3"/>
    <m/>
    <x v="3"/>
    <x v="0"/>
  </r>
  <r>
    <d v="2025-04-22T00:00:00"/>
    <x v="80"/>
    <x v="7"/>
    <x v="0"/>
    <n v="4011100499"/>
    <n v="59000"/>
    <s v="0"/>
    <x v="29"/>
    <d v="2025-05-02T00:00:00"/>
    <n v="47"/>
    <x v="3"/>
    <m/>
    <x v="3"/>
    <x v="0"/>
  </r>
  <r>
    <d v="2025-04-22T00:00:00"/>
    <x v="81"/>
    <x v="7"/>
    <x v="0"/>
    <n v="4011100499"/>
    <n v="158260"/>
    <s v="0"/>
    <x v="30"/>
    <d v="2025-05-02T00:00:00"/>
    <n v="47"/>
    <x v="3"/>
    <m/>
    <x v="3"/>
    <x v="0"/>
  </r>
  <r>
    <d v="2025-04-22T00:00:00"/>
    <x v="82"/>
    <x v="7"/>
    <x v="0"/>
    <n v="4011100499"/>
    <n v="59000"/>
    <s v="0"/>
    <x v="29"/>
    <d v="2025-05-02T00:00:00"/>
    <n v="47"/>
    <x v="3"/>
    <m/>
    <x v="3"/>
    <x v="0"/>
  </r>
  <r>
    <d v="2025-04-22T00:00:00"/>
    <x v="83"/>
    <x v="7"/>
    <x v="0"/>
    <n v="4011100499"/>
    <n v="236140"/>
    <s v="0"/>
    <x v="26"/>
    <d v="2025-05-02T00:00:00"/>
    <n v="47"/>
    <x v="3"/>
    <m/>
    <x v="3"/>
    <x v="0"/>
  </r>
  <r>
    <d v="2025-04-22T00:00:00"/>
    <x v="84"/>
    <x v="7"/>
    <x v="0"/>
    <n v="4011100499"/>
    <n v="59000"/>
    <s v="0"/>
    <x v="29"/>
    <d v="2025-05-02T00:00:00"/>
    <n v="47"/>
    <x v="3"/>
    <m/>
    <x v="3"/>
    <x v="0"/>
  </r>
  <r>
    <d v="2025-04-22T00:00:00"/>
    <x v="85"/>
    <x v="7"/>
    <x v="0"/>
    <n v="4011100499"/>
    <n v="158260"/>
    <s v="0"/>
    <x v="30"/>
    <d v="2025-05-02T00:00:00"/>
    <n v="47"/>
    <x v="3"/>
    <m/>
    <x v="3"/>
    <x v="0"/>
  </r>
  <r>
    <d v="2025-04-22T00:00:00"/>
    <x v="86"/>
    <x v="7"/>
    <x v="0"/>
    <n v="4011100499"/>
    <n v="59000"/>
    <s v="0"/>
    <x v="29"/>
    <d v="2025-05-02T00:00:00"/>
    <n v="47"/>
    <x v="3"/>
    <m/>
    <x v="3"/>
    <x v="0"/>
  </r>
  <r>
    <d v="2025-04-22T00:00:00"/>
    <x v="87"/>
    <x v="7"/>
    <x v="0"/>
    <n v="4011100499"/>
    <n v="158260"/>
    <s v="0"/>
    <x v="30"/>
    <d v="2025-05-02T00:00:00"/>
    <n v="47"/>
    <x v="3"/>
    <m/>
    <x v="3"/>
    <x v="0"/>
  </r>
  <r>
    <d v="2025-04-22T00:00:00"/>
    <x v="88"/>
    <x v="7"/>
    <x v="0"/>
    <n v="4011100499"/>
    <n v="59000"/>
    <s v="0"/>
    <x v="29"/>
    <d v="2025-05-02T00:00:00"/>
    <n v="47"/>
    <x v="3"/>
    <m/>
    <x v="3"/>
    <x v="0"/>
  </r>
  <r>
    <d v="2025-04-22T00:00:00"/>
    <x v="89"/>
    <x v="7"/>
    <x v="0"/>
    <n v="4011100499"/>
    <n v="391900"/>
    <s v="0"/>
    <x v="34"/>
    <d v="2025-05-02T00:00:00"/>
    <n v="47"/>
    <x v="3"/>
    <m/>
    <x v="3"/>
    <x v="0"/>
  </r>
  <r>
    <d v="2025-04-22T00:00:00"/>
    <x v="90"/>
    <x v="7"/>
    <x v="0"/>
    <n v="4011100499"/>
    <n v="59000"/>
    <s v="0"/>
    <x v="29"/>
    <d v="2025-05-02T00:00:00"/>
    <n v="47"/>
    <x v="3"/>
    <m/>
    <x v="3"/>
    <x v="0"/>
  </r>
  <r>
    <d v="2025-04-22T00:00:00"/>
    <x v="91"/>
    <x v="7"/>
    <x v="0"/>
    <n v="4011100499"/>
    <n v="158260"/>
    <s v="0"/>
    <x v="30"/>
    <d v="2025-05-02T00:00:00"/>
    <n v="47"/>
    <x v="3"/>
    <m/>
    <x v="3"/>
    <x v="0"/>
  </r>
  <r>
    <d v="2025-04-22T00:00:00"/>
    <x v="92"/>
    <x v="7"/>
    <x v="0"/>
    <n v="4011100499"/>
    <n v="472280"/>
    <s v="0"/>
    <x v="35"/>
    <d v="2025-05-02T00:00:00"/>
    <n v="47"/>
    <x v="3"/>
    <m/>
    <x v="3"/>
    <x v="0"/>
  </r>
  <r>
    <d v="2025-04-22T00:00:00"/>
    <x v="93"/>
    <x v="7"/>
    <x v="0"/>
    <n v="4011100499"/>
    <n v="118000"/>
    <s v="0"/>
    <x v="21"/>
    <d v="2025-05-02T00:00:00"/>
    <n v="47"/>
    <x v="3"/>
    <m/>
    <x v="3"/>
    <x v="0"/>
  </r>
  <r>
    <d v="2025-04-22T00:00:00"/>
    <x v="94"/>
    <x v="7"/>
    <x v="0"/>
    <n v="4011100499"/>
    <n v="1180700"/>
    <s v="0"/>
    <x v="36"/>
    <d v="2025-05-02T00:00:00"/>
    <n v="47"/>
    <x v="3"/>
    <m/>
    <x v="3"/>
    <x v="0"/>
  </r>
  <r>
    <d v="2025-04-22T00:00:00"/>
    <x v="95"/>
    <x v="7"/>
    <x v="0"/>
    <n v="4011100499"/>
    <n v="295000"/>
    <s v="0"/>
    <x v="22"/>
    <d v="2025-05-02T00:00:00"/>
    <n v="47"/>
    <x v="3"/>
    <m/>
    <x v="3"/>
    <x v="0"/>
  </r>
  <r>
    <d v="2025-04-22T00:00:00"/>
    <x v="96"/>
    <x v="7"/>
    <x v="0"/>
    <n v="4011100499"/>
    <n v="236140"/>
    <s v="0"/>
    <x v="26"/>
    <d v="2025-05-02T00:00:00"/>
    <n v="47"/>
    <x v="3"/>
    <m/>
    <x v="3"/>
    <x v="0"/>
  </r>
  <r>
    <d v="2025-04-22T00:00:00"/>
    <x v="97"/>
    <x v="7"/>
    <x v="0"/>
    <n v="4011100499"/>
    <n v="59000"/>
    <s v="0"/>
    <x v="29"/>
    <d v="2025-05-02T00:00:00"/>
    <n v="47"/>
    <x v="3"/>
    <m/>
    <x v="3"/>
    <x v="0"/>
  </r>
  <r>
    <d v="2024-04-24T00:00:00"/>
    <x v="98"/>
    <x v="7"/>
    <x v="0"/>
    <n v="4011100499"/>
    <n v="474780"/>
    <s v="0"/>
    <x v="37"/>
    <d v="2025-05-03T00:00:00"/>
    <n v="46"/>
    <x v="3"/>
    <m/>
    <x v="3"/>
    <x v="1"/>
  </r>
  <r>
    <d v="2025-04-24T00:00:00"/>
    <x v="99"/>
    <x v="7"/>
    <x v="0"/>
    <n v="4011100499"/>
    <n v="236140"/>
    <s v="0"/>
    <x v="26"/>
    <d v="2025-04-24T00:00:00"/>
    <n v="55"/>
    <x v="3"/>
    <m/>
    <x v="3"/>
    <x v="0"/>
  </r>
  <r>
    <d v="2025-04-24T00:00:00"/>
    <x v="100"/>
    <x v="7"/>
    <x v="0"/>
    <n v="4011100499"/>
    <n v="80380"/>
    <s v="0"/>
    <x v="33"/>
    <d v="2025-04-24T00:00:00"/>
    <n v="55"/>
    <x v="3"/>
    <m/>
    <x v="3"/>
    <x v="0"/>
  </r>
  <r>
    <d v="2025-04-24T00:00:00"/>
    <x v="101"/>
    <x v="7"/>
    <x v="0"/>
    <n v="4011100499"/>
    <n v="59000"/>
    <s v="0"/>
    <x v="29"/>
    <d v="2025-04-24T00:00:00"/>
    <n v="55"/>
    <x v="3"/>
    <m/>
    <x v="3"/>
    <x v="0"/>
  </r>
  <r>
    <d v="2025-04-24T00:00:00"/>
    <x v="102"/>
    <x v="7"/>
    <x v="0"/>
    <n v="4011100499"/>
    <n v="29500"/>
    <s v="0"/>
    <x v="38"/>
    <d v="2025-04-24T00:00:00"/>
    <n v="55"/>
    <x v="3"/>
    <m/>
    <x v="3"/>
    <x v="0"/>
  </r>
  <r>
    <d v="2025-04-24T00:00:00"/>
    <x v="103"/>
    <x v="7"/>
    <x v="0"/>
    <n v="4011100499"/>
    <n v="238640"/>
    <s v="0"/>
    <x v="39"/>
    <d v="2025-04-24T00:00:00"/>
    <n v="55"/>
    <x v="3"/>
    <m/>
    <x v="3"/>
    <x v="0"/>
  </r>
  <r>
    <d v="2025-04-24T00:00:00"/>
    <x v="104"/>
    <x v="7"/>
    <x v="0"/>
    <n v="4011100499"/>
    <n v="59000"/>
    <s v="0"/>
    <x v="29"/>
    <d v="2025-04-24T00:00:00"/>
    <n v="55"/>
    <x v="3"/>
    <m/>
    <x v="3"/>
    <x v="0"/>
  </r>
  <r>
    <d v="2025-04-24T00:00:00"/>
    <x v="105"/>
    <x v="7"/>
    <x v="0"/>
    <n v="4011100499"/>
    <n v="177000"/>
    <s v="0"/>
    <x v="17"/>
    <d v="2025-06-24T00:00:00"/>
    <n v="-6"/>
    <x v="0"/>
    <m/>
    <x v="3"/>
    <x v="0"/>
  </r>
  <r>
    <d v="2025-04-25T00:00:00"/>
    <x v="106"/>
    <x v="7"/>
    <x v="0"/>
    <n v="4011100499"/>
    <n v="158260"/>
    <s v="0"/>
    <x v="30"/>
    <d v="2025-07-05T00:00:00"/>
    <n v="-17"/>
    <x v="0"/>
    <m/>
    <x v="3"/>
    <x v="0"/>
  </r>
  <r>
    <d v="2025-04-25T00:00:00"/>
    <x v="107"/>
    <x v="7"/>
    <x v="0"/>
    <n v="4011100499"/>
    <n v="59000"/>
    <s v="0"/>
    <x v="29"/>
    <d v="2025-07-05T00:00:00"/>
    <n v="-17"/>
    <x v="0"/>
    <m/>
    <x v="3"/>
    <x v="0"/>
  </r>
  <r>
    <d v="2025-04-25T00:00:00"/>
    <x v="108"/>
    <x v="7"/>
    <x v="0"/>
    <n v="4011100499"/>
    <n v="236140"/>
    <s v="0"/>
    <x v="26"/>
    <d v="2025-07-05T00:00:00"/>
    <n v="-17"/>
    <x v="0"/>
    <m/>
    <x v="3"/>
    <x v="0"/>
  </r>
  <r>
    <d v="2025-04-25T00:00:00"/>
    <x v="109"/>
    <x v="7"/>
    <x v="0"/>
    <n v="4011100499"/>
    <n v="59000"/>
    <s v="0"/>
    <x v="29"/>
    <d v="2025-07-05T00:00:00"/>
    <n v="-17"/>
    <x v="0"/>
    <m/>
    <x v="3"/>
    <x v="0"/>
  </r>
  <r>
    <d v="2025-04-25T00:00:00"/>
    <x v="110"/>
    <x v="7"/>
    <x v="0"/>
    <n v="4011100499"/>
    <n v="236140"/>
    <s v="0"/>
    <x v="26"/>
    <d v="2025-07-05T00:00:00"/>
    <n v="-17"/>
    <x v="0"/>
    <m/>
    <x v="3"/>
    <x v="0"/>
  </r>
  <r>
    <d v="2025-04-25T00:00:00"/>
    <x v="111"/>
    <x v="7"/>
    <x v="0"/>
    <n v="4011100499"/>
    <n v="59000"/>
    <s v="0"/>
    <x v="29"/>
    <d v="2025-07-05T00:00:00"/>
    <n v="-17"/>
    <x v="0"/>
    <m/>
    <x v="3"/>
    <x v="0"/>
  </r>
  <r>
    <d v="2025-04-25T00:00:00"/>
    <x v="112"/>
    <x v="7"/>
    <x v="0"/>
    <n v="4011100499"/>
    <n v="158260"/>
    <s v="0"/>
    <x v="30"/>
    <d v="2025-07-05T00:00:00"/>
    <n v="-17"/>
    <x v="0"/>
    <m/>
    <x v="3"/>
    <x v="0"/>
  </r>
  <r>
    <d v="2025-04-25T00:00:00"/>
    <x v="113"/>
    <x v="7"/>
    <x v="0"/>
    <n v="4011100499"/>
    <n v="59000"/>
    <s v="0"/>
    <x v="29"/>
    <d v="2025-07-05T00:00:00"/>
    <n v="-17"/>
    <x v="0"/>
    <m/>
    <x v="3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3" cacheId="0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>
  <location ref="A4:A5" firstHeaderRow="1" firstDataRow="1" firstDataCol="0"/>
  <pivotFields count="14">
    <pivotField showAll="0"/>
    <pivotField showAll="0"/>
    <pivotField showAll="0">
      <items count="13">
        <item m="1" x="8"/>
        <item x="1"/>
        <item x="7"/>
        <item m="1" x="10"/>
        <item x="0"/>
        <item x="3"/>
        <item m="1" x="9"/>
        <item x="2"/>
        <item m="1" x="11"/>
        <item x="6"/>
        <item x="4"/>
        <item x="5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 defaultSubtotal="0">
      <items count="6">
        <item x="5"/>
        <item x="1"/>
        <item x="2"/>
        <item x="3"/>
        <item x="4"/>
        <item x="0"/>
      </items>
    </pivotField>
    <pivotField showAll="0" defaultSubtotal="0">
      <items count="2">
        <item x="1"/>
        <item x="0"/>
      </items>
    </pivotField>
  </pivotFields>
  <rowItems count="1">
    <i/>
  </rowItems>
  <colItems count="1">
    <i/>
  </colItems>
  <dataFields count="1">
    <dataField name="Somme de Montant Payé" fld="6" baseField="0" baseItem="0" numFmtId="164"/>
  </dataFields>
  <formats count="1">
    <format dxfId="17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>
  <location ref="A1:B2" firstHeaderRow="0" firstDataRow="1" firstDataCol="0"/>
  <pivotFields count="14">
    <pivotField showAll="0"/>
    <pivotField dataField="1" showAll="0"/>
    <pivotField showAll="0">
      <items count="13">
        <item m="1" x="8"/>
        <item x="1"/>
        <item x="7"/>
        <item m="1" x="10"/>
        <item x="0"/>
        <item x="3"/>
        <item m="1" x="9"/>
        <item x="2"/>
        <item m="1" x="11"/>
        <item x="6"/>
        <item x="4"/>
        <item x="5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 defaultSubtotal="0">
      <items count="6">
        <item x="5"/>
        <item x="1"/>
        <item x="2"/>
        <item x="3"/>
        <item x="4"/>
        <item x="0"/>
      </items>
    </pivotField>
    <pivotField showAll="0" defaultSubtotal="0">
      <items count="2">
        <item x="1"/>
        <item x="0"/>
      </items>
    </pivotField>
  </pivotFields>
  <rowItems count="1">
    <i/>
  </rowItems>
  <colFields count="1">
    <field x="-2"/>
  </colFields>
  <colItems count="2">
    <i>
      <x/>
    </i>
    <i i="1">
      <x v="1"/>
    </i>
  </colItems>
  <dataFields count="2">
    <dataField name="Somme de Net à Payer" fld="5" baseField="1" baseItem="0" numFmtId="164"/>
    <dataField name="Nombre de N°Facture" fld="1" subtotal="count" baseField="0" baseItem="0"/>
  </dataFields>
  <formats count="2">
    <format dxfId="19">
      <pivotArea outline="0" collapsedLevelsAreSubtotals="1" fieldPosition="0"/>
    </format>
    <format dxfId="1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Tableau croisé dynamique10" cacheId="0" applyNumberFormats="0" applyBorderFormats="0" applyFontFormats="0" applyPatternFormats="0" applyAlignmentFormats="0" applyWidthHeightFormats="1" dataCaption="Valeurs" updatedVersion="6" minRefreshableVersion="3" useAutoFormatting="1" rowGrandTotals="0" colGrandTotals="0" itemPrintTitles="1" createdVersion="6" indent="0" outline="1" outlineData="1" multipleFieldFilters="0" chartFormat="9">
  <location ref="A71:B75" firstHeaderRow="1" firstDataRow="1" firstDataCol="1" rowPageCount="1" colPageCount="1"/>
  <pivotFields count="14">
    <pivotField showAll="0"/>
    <pivotField showAll="0"/>
    <pivotField axis="axisRow" showAll="0" sortType="ascending">
      <items count="13">
        <item m="1" x="8"/>
        <item x="1"/>
        <item x="7"/>
        <item m="1" x="10"/>
        <item x="3"/>
        <item m="1" x="9"/>
        <item x="2"/>
        <item m="1" x="11"/>
        <item x="6"/>
        <item x="4"/>
        <item x="5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axis="axisPage" dataField="1" numFmtId="164" multipleItemSelectionAllowed="1" showAll="0">
      <items count="41">
        <item h="1" x="24"/>
        <item x="38"/>
        <item x="29"/>
        <item x="11"/>
        <item x="33"/>
        <item x="9"/>
        <item x="21"/>
        <item x="10"/>
        <item x="30"/>
        <item x="7"/>
        <item x="17"/>
        <item x="14"/>
        <item x="18"/>
        <item x="32"/>
        <item x="26"/>
        <item x="39"/>
        <item x="28"/>
        <item x="8"/>
        <item x="22"/>
        <item x="5"/>
        <item x="6"/>
        <item x="23"/>
        <item x="34"/>
        <item x="1"/>
        <item x="35"/>
        <item x="37"/>
        <item x="15"/>
        <item x="4"/>
        <item x="31"/>
        <item x="2"/>
        <item x="27"/>
        <item x="13"/>
        <item x="20"/>
        <item x="19"/>
        <item x="36"/>
        <item x="16"/>
        <item x="12"/>
        <item x="3"/>
        <item x="25"/>
        <item h="1" x="0"/>
        <item t="default"/>
      </items>
    </pivotField>
    <pivotField showAll="0"/>
    <pivotField showAll="0"/>
    <pivotField showAll="0"/>
    <pivotField showAll="0"/>
    <pivotField showAll="0" defaultSubtotal="0">
      <items count="6">
        <item x="5"/>
        <item x="1"/>
        <item x="2"/>
        <item x="3"/>
        <item x="4"/>
        <item x="0"/>
      </items>
    </pivotField>
    <pivotField showAll="0" defaultSubtotal="0"/>
  </pivotFields>
  <rowFields count="1">
    <field x="2"/>
  </rowFields>
  <rowItems count="4">
    <i>
      <x v="6"/>
    </i>
    <i>
      <x v="4"/>
    </i>
    <i>
      <x v="2"/>
    </i>
    <i>
      <x v="1"/>
    </i>
  </rowItems>
  <colItems count="1">
    <i/>
  </colItems>
  <pageFields count="1">
    <pageField fld="7" hier="-1"/>
  </pageFields>
  <dataFields count="1">
    <dataField name="Somme de Solde" fld="7" baseField="0" baseItem="0" numFmtId="164"/>
  </dataFields>
  <formats count="1">
    <format dxfId="20">
      <pivotArea outline="0" collapsedLevelsAreSubtotals="1" fieldPosition="0"/>
    </format>
  </formats>
  <chartFormats count="4"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Tableau croisé dynamique8" cacheId="0" applyNumberFormats="0" applyBorderFormats="0" applyFontFormats="0" applyPatternFormats="0" applyAlignmentFormats="0" applyWidthHeightFormats="1" dataCaption="Valeurs" updatedVersion="6" minRefreshableVersion="3" useAutoFormatting="1" rowGrandTotals="0" colGrandTotals="0" itemPrintTitles="1" createdVersion="6" indent="0" outline="1" outlineData="1" multipleFieldFilters="0" chartFormat="3">
  <location ref="A28:B32" firstHeaderRow="1" firstDataRow="1" firstDataCol="1"/>
  <pivotFields count="14">
    <pivotField numFmtId="14" showAll="0"/>
    <pivotField showAll="0"/>
    <pivotField showAll="0">
      <items count="13">
        <item m="1" x="8"/>
        <item x="1"/>
        <item x="7"/>
        <item m="1" x="10"/>
        <item x="0"/>
        <item x="3"/>
        <item m="1" x="9"/>
        <item x="2"/>
        <item m="1" x="11"/>
        <item x="6"/>
        <item x="4"/>
        <item x="5"/>
        <item t="default"/>
      </items>
    </pivotField>
    <pivotField showAll="0"/>
    <pivotField showAll="0"/>
    <pivotField dataField="1" numFmtId="164" showAll="0"/>
    <pivotField showAll="0"/>
    <pivotField showAll="0"/>
    <pivotField numFmtId="14" showAll="0"/>
    <pivotField numFmtId="1" showAll="0"/>
    <pivotField axis="axisRow" showAll="0">
      <items count="8">
        <item m="1" x="6"/>
        <item x="2"/>
        <item x="1"/>
        <item h="1" x="4"/>
        <item m="1" x="5"/>
        <item x="3"/>
        <item x="0"/>
        <item t="default"/>
      </items>
    </pivotField>
    <pivotField showAll="0"/>
    <pivotField showAll="0" defaultSubtotal="0">
      <items count="6">
        <item x="5"/>
        <item x="1"/>
        <item x="2"/>
        <item x="3"/>
        <item x="4"/>
        <item x="0"/>
      </items>
    </pivotField>
    <pivotField showAll="0" defaultSubtotal="0">
      <items count="2">
        <item x="1"/>
        <item x="0"/>
      </items>
    </pivotField>
  </pivotFields>
  <rowFields count="1">
    <field x="10"/>
  </rowFields>
  <rowItems count="4">
    <i>
      <x v="1"/>
    </i>
    <i>
      <x v="2"/>
    </i>
    <i>
      <x v="5"/>
    </i>
    <i>
      <x v="6"/>
    </i>
  </rowItems>
  <colItems count="1">
    <i/>
  </colItems>
  <dataFields count="1">
    <dataField name="Somme de Net à Payer" fld="5" baseField="0" baseItem="0" numFmtId="164"/>
  </dataFields>
  <formats count="1">
    <format dxfId="21">
      <pivotArea outline="0" collapsedLevelsAreSubtotals="1" fieldPosition="0"/>
    </format>
  </formats>
  <chartFormats count="1">
    <chartFormat chart="2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TCD_CatégoriesFRS" cacheId="0" applyNumberFormats="0" applyBorderFormats="0" applyFontFormats="0" applyPatternFormats="0" applyAlignmentFormats="0" applyWidthHeightFormats="1" dataCaption="Valeurs" updatedVersion="6" minRefreshableVersion="3" useAutoFormatting="1" rowGrandTotals="0" colGrandTotals="0" itemPrintTitles="1" createdVersion="6" indent="0" outline="1" outlineData="1" multipleFieldFilters="0" chartFormat="4">
  <location ref="A83:C85" firstHeaderRow="0" firstDataRow="1" firstDataCol="1"/>
  <pivotFields count="14">
    <pivotField numFmtId="14" showAll="0"/>
    <pivotField dataField="1" showAll="0"/>
    <pivotField showAll="0">
      <items count="13">
        <item m="1" x="8"/>
        <item x="1"/>
        <item x="7"/>
        <item m="1" x="10"/>
        <item x="0"/>
        <item x="3"/>
        <item m="1" x="9"/>
        <item x="2"/>
        <item m="1" x="11"/>
        <item x="6"/>
        <item x="4"/>
        <item x="5"/>
        <item t="default"/>
      </items>
    </pivotField>
    <pivotField axis="axisRow" showAll="0">
      <items count="4">
        <item x="1"/>
        <item x="0"/>
        <item m="1" x="2"/>
        <item t="default"/>
      </items>
    </pivotField>
    <pivotField showAll="0"/>
    <pivotField numFmtId="164" showAll="0"/>
    <pivotField showAll="0"/>
    <pivotField dataField="1" numFmtId="164" showAll="0"/>
    <pivotField numFmtId="14" showAll="0"/>
    <pivotField numFmtId="1" showAll="0"/>
    <pivotField showAll="0"/>
    <pivotField showAll="0"/>
    <pivotField showAll="0" defaultSubtotal="0">
      <items count="6">
        <item x="5"/>
        <item x="1"/>
        <item x="2"/>
        <item x="3"/>
        <item x="4"/>
        <item x="0"/>
      </items>
    </pivotField>
    <pivotField showAll="0" defaultSubtotal="0">
      <items count="2">
        <item x="1"/>
        <item x="0"/>
      </items>
    </pivotField>
  </pivotFields>
  <rowFields count="1">
    <field x="3"/>
  </rowFields>
  <rowItems count="2">
    <i>
      <x/>
    </i>
    <i>
      <x v="1"/>
    </i>
  </rowItems>
  <colFields count="1">
    <field x="-2"/>
  </colFields>
  <colItems count="2">
    <i>
      <x/>
    </i>
    <i i="1">
      <x v="1"/>
    </i>
  </colItems>
  <dataFields count="2">
    <dataField name="Somme de Solde" fld="7" baseField="0" baseItem="0" numFmtId="164"/>
    <dataField name="Nombre de N°Facture" fld="1" subtotal="count" baseField="0" baseItem="0" numFmtId="1"/>
  </dataFields>
  <formats count="2">
    <format dxfId="23">
      <pivotArea outline="0" collapsedLevelsAreSubtotals="1" fieldPosition="0"/>
    </format>
    <format dxfId="22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TCD_TXPAIEMENT" cacheId="0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>
  <location ref="A21:B22" firstHeaderRow="0" firstDataRow="1" firstDataCol="0"/>
  <pivotFields count="14">
    <pivotField numFmtId="14" showAll="0"/>
    <pivotField showAll="0"/>
    <pivotField showAll="0">
      <items count="13">
        <item m="1" x="8"/>
        <item x="1"/>
        <item x="7"/>
        <item m="1" x="10"/>
        <item x="0"/>
        <item x="3"/>
        <item m="1" x="9"/>
        <item x="2"/>
        <item m="1" x="11"/>
        <item x="6"/>
        <item x="4"/>
        <item x="5"/>
        <item t="default"/>
      </items>
    </pivotField>
    <pivotField showAll="0"/>
    <pivotField showAll="0"/>
    <pivotField dataField="1" numFmtId="164" showAll="0"/>
    <pivotField dataField="1" showAll="0"/>
    <pivotField showAll="0"/>
    <pivotField numFmtId="14" showAll="0"/>
    <pivotField numFmtId="1" showAll="0"/>
    <pivotField showAll="0"/>
    <pivotField showAll="0"/>
    <pivotField showAll="0" defaultSubtotal="0">
      <items count="6">
        <item x="5"/>
        <item x="1"/>
        <item x="2"/>
        <item x="3"/>
        <item x="4"/>
        <item x="0"/>
      </items>
    </pivotField>
    <pivotField showAll="0" defaultSubtotal="0">
      <items count="2">
        <item x="1"/>
        <item x="0"/>
      </items>
    </pivotField>
  </pivotFields>
  <rowItems count="1">
    <i/>
  </rowItems>
  <colFields count="1">
    <field x="-2"/>
  </colFields>
  <colItems count="2">
    <i>
      <x/>
    </i>
    <i i="1">
      <x v="1"/>
    </i>
  </colItems>
  <dataFields count="2">
    <dataField name="Somme de Net à Payer" fld="5" baseField="0" baseItem="0"/>
    <dataField name="Somme de Montant Payé" fld="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7.xml><?xml version="1.0" encoding="utf-8"?>
<pivotTableDefinition xmlns="http://schemas.openxmlformats.org/spreadsheetml/2006/main" name="Tableau croisé dynamique5" cacheId="0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>
  <location ref="A11:B12" firstHeaderRow="0" firstDataRow="1" firstDataCol="0" rowPageCount="1" colPageCount="1"/>
  <pivotFields count="14">
    <pivotField numFmtId="14" showAll="0"/>
    <pivotField dataField="1" showAll="0"/>
    <pivotField showAll="0">
      <items count="13">
        <item m="1" x="8"/>
        <item x="1"/>
        <item x="7"/>
        <item m="1" x="10"/>
        <item x="0"/>
        <item x="3"/>
        <item m="1" x="9"/>
        <item x="2"/>
        <item m="1" x="11"/>
        <item x="6"/>
        <item x="4"/>
        <item x="5"/>
        <item t="default"/>
      </items>
    </pivotField>
    <pivotField showAll="0"/>
    <pivotField showAll="0"/>
    <pivotField numFmtId="164" showAll="0"/>
    <pivotField showAll="0"/>
    <pivotField dataField="1" showAll="0"/>
    <pivotField numFmtId="14" showAll="0"/>
    <pivotField numFmtId="1" showAll="0"/>
    <pivotField axis="axisPage" multipleItemSelectionAllowed="1" showAll="0">
      <items count="8">
        <item h="1" x="2"/>
        <item h="1" x="1"/>
        <item m="1" x="6"/>
        <item h="1" x="4"/>
        <item h="1" m="1" x="5"/>
        <item h="1" x="3"/>
        <item x="0"/>
        <item t="default"/>
      </items>
    </pivotField>
    <pivotField showAll="0"/>
    <pivotField showAll="0" defaultSubtotal="0">
      <items count="6">
        <item x="5"/>
        <item x="1"/>
        <item x="2"/>
        <item x="3"/>
        <item x="4"/>
        <item x="0"/>
      </items>
    </pivotField>
    <pivotField showAll="0" defaultSubtotal="0">
      <items count="2">
        <item x="1"/>
        <item x="0"/>
      </items>
    </pivotField>
  </pivotFields>
  <rowItems count="1">
    <i/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Somme de Solde" fld="7" baseField="0" baseItem="0" numFmtId="164"/>
    <dataField name="Nombre de N°Facture" fld="1" subtotal="count" baseField="0" baseItem="0" numFmtId="1"/>
  </dataFields>
  <formats count="2">
    <format dxfId="25">
      <pivotArea outline="0" collapsedLevelsAreSubtotals="1" fieldPosition="0"/>
    </format>
    <format dxfId="24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8.xml><?xml version="1.0" encoding="utf-8"?>
<pivotTableDefinition xmlns="http://schemas.openxmlformats.org/spreadsheetml/2006/main" name="TCDRetards" cacheId="0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>
  <location ref="A16:B17" firstHeaderRow="0" firstDataRow="1" firstDataCol="0" rowPageCount="1" colPageCount="1"/>
  <pivotFields count="14">
    <pivotField numFmtId="14" showAll="0"/>
    <pivotField dataField="1" showAll="0"/>
    <pivotField showAll="0"/>
    <pivotField showAll="0"/>
    <pivotField showAll="0"/>
    <pivotField numFmtId="164" showAll="0"/>
    <pivotField showAll="0"/>
    <pivotField dataField="1" showAll="0"/>
    <pivotField numFmtId="14" showAll="0"/>
    <pivotField numFmtId="1" showAll="0"/>
    <pivotField axis="axisPage" multipleItemSelectionAllowed="1" showAll="0">
      <items count="8">
        <item x="2"/>
        <item x="1"/>
        <item h="1" m="1" x="6"/>
        <item h="1" x="4"/>
        <item h="1" m="1" x="5"/>
        <item x="3"/>
        <item h="1" x="0"/>
        <item t="default"/>
      </items>
    </pivotField>
    <pivotField showAll="0"/>
    <pivotField showAll="0" defaultSubtotal="0">
      <items count="6">
        <item x="5"/>
        <item x="1"/>
        <item x="2"/>
        <item x="3"/>
        <item x="4"/>
        <item x="0"/>
      </items>
    </pivotField>
    <pivotField showAll="0" defaultSubtotal="0">
      <items count="2">
        <item x="1"/>
        <item x="0"/>
      </items>
    </pivotField>
  </pivotFields>
  <rowItems count="1">
    <i/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Somme de Solde" fld="7" baseField="0" baseItem="0" numFmtId="164"/>
    <dataField name="Nombre de N°Facture" fld="1" subtotal="count" baseField="0" baseItem="0"/>
  </dataFields>
  <formats count="1">
    <format dxfId="26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9.xml><?xml version="1.0" encoding="utf-8"?>
<pivotTableDefinition xmlns="http://schemas.openxmlformats.org/spreadsheetml/2006/main" name="TCD 5FAC ECHUES" cacheId="0" applyNumberFormats="0" applyBorderFormats="0" applyFontFormats="0" applyPatternFormats="0" applyAlignmentFormats="0" applyWidthHeightFormats="1" dataCaption="Valeurs" updatedVersion="6" minRefreshableVersion="3" useAutoFormatting="1" rowGrandTotals="0" colGrandTotals="0" itemPrintTitles="1" createdVersion="6" indent="0" outline="1" outlineData="1" multipleFieldFilters="0">
  <location ref="A35:C42" firstHeaderRow="0" firstDataRow="1" firstDataCol="1" rowPageCount="1" colPageCount="1"/>
  <pivotFields count="14">
    <pivotField numFmtId="14" showAll="0"/>
    <pivotField axis="axisRow" showAll="0" measureFilter="1" sortType="descending">
      <items count="117">
        <item m="1" x="115"/>
        <item m="1" x="114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13">
        <item m="1" x="8"/>
        <item x="1"/>
        <item x="7"/>
        <item m="1" x="10"/>
        <item x="0"/>
        <item x="3"/>
        <item m="1" x="9"/>
        <item x="2"/>
        <item m="1" x="11"/>
        <item x="6"/>
        <item x="4"/>
        <item x="5"/>
        <item t="default"/>
      </items>
    </pivotField>
    <pivotField showAll="0"/>
    <pivotField showAll="0"/>
    <pivotField numFmtId="164" showAll="0"/>
    <pivotField showAll="0"/>
    <pivotField dataField="1" showAll="0"/>
    <pivotField numFmtId="14" showAll="0"/>
    <pivotField dataField="1" numFmtId="1" showAll="0"/>
    <pivotField axis="axisPage" multipleItemSelectionAllowed="1" showAll="0">
      <items count="8">
        <item x="3"/>
        <item x="2"/>
        <item x="1"/>
        <item h="1" x="0"/>
        <item m="1" x="6"/>
        <item h="1" x="4"/>
        <item m="1" x="5"/>
        <item t="default"/>
      </items>
    </pivotField>
    <pivotField showAll="0"/>
    <pivotField showAll="0" defaultSubtotal="0">
      <items count="6">
        <item x="5"/>
        <item x="1"/>
        <item x="2"/>
        <item x="3"/>
        <item x="4"/>
        <item x="0"/>
      </items>
    </pivotField>
    <pivotField showAll="0" defaultSubtotal="0">
      <items count="2">
        <item x="1"/>
        <item x="0"/>
      </items>
    </pivotField>
  </pivotFields>
  <rowFields count="1">
    <field x="1"/>
  </rowFields>
  <rowItems count="7">
    <i>
      <x v="30"/>
    </i>
    <i>
      <x v="31"/>
    </i>
    <i>
      <x v="33"/>
    </i>
    <i>
      <x v="32"/>
    </i>
    <i>
      <x v="29"/>
    </i>
    <i>
      <x v="28"/>
    </i>
    <i>
      <x v="27"/>
    </i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Somme de Retard" fld="9" baseField="0" baseItem="0"/>
    <dataField name="Somme de Solde" fld="7" baseField="0" baseItem="0"/>
  </dataFields>
  <pivotTableStyleInfo name="PivotStyleLight16" showRowHeaders="1" showColHeaders="1" showRowStripes="0" showColStripes="0" showLastColumn="1"/>
  <filters count="1">
    <filter fld="1" type="count" evalOrder="-1" id="9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_Années" sourceName="Années">
  <pivotTables>
    <pivotTable tabId="5" name="Tableau croisé dynamique2"/>
    <pivotTable tabId="5" name="TCD_CatégoriesFRS"/>
    <pivotTable tabId="5" name="Tableau croisé dynamique3"/>
    <pivotTable tabId="5" name="Tableau croisé dynamique5"/>
    <pivotTable tabId="5" name="TCDRetards"/>
    <pivotTable tabId="5" name="TCD_TXPAIEMENT"/>
    <pivotTable tabId="5" name="Tableau croisé dynamique8"/>
    <pivotTable tabId="5" name="TCD 5FAC ECHUES"/>
  </pivotTables>
  <data>
    <tabular pivotCacheId="1">
      <items count="2">
        <i x="1" s="1"/>
        <i x="0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_Mois" sourceName="Mois">
  <pivotTables>
    <pivotTable tabId="5" name="Tableau croisé dynamique2"/>
    <pivotTable tabId="5" name="TCD_CatégoriesFRS"/>
    <pivotTable tabId="5" name="Tableau croisé dynamique10"/>
    <pivotTable tabId="5" name="Tableau croisé dynamique3"/>
    <pivotTable tabId="5" name="Tableau croisé dynamique5"/>
    <pivotTable tabId="5" name="TCDRetards"/>
    <pivotTable tabId="5" name="TCD_TXPAIEMENT"/>
    <pivotTable tabId="5" name="Tableau croisé dynamique8"/>
    <pivotTable tabId="5" name="TCD 5FAC ECHUES"/>
  </pivotTables>
  <data>
    <tabular pivotCacheId="1">
      <items count="6">
        <i x="5" s="1"/>
        <i x="1" s="1"/>
        <i x="2" s="1"/>
        <i x="3" s="1"/>
        <i x="4" s="1"/>
        <i x="0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_Fournisseur" sourceName="Fournisseur">
  <pivotTables>
    <pivotTable tabId="5" name="Tableau croisé dynamique2"/>
    <pivotTable tabId="5" name="Tableau croisé dynamique3"/>
    <pivotTable tabId="5" name="Tableau croisé dynamique5"/>
    <pivotTable tabId="5" name="Tableau croisé dynamique8"/>
    <pivotTable tabId="5" name="TCD 5FAC ECHUES"/>
    <pivotTable tabId="5" name="TCD_CatégoriesFRS"/>
    <pivotTable tabId="5" name="TCD_TXPAIEMENT"/>
    <pivotTable tabId="5" name="Tableau croisé dynamique10"/>
  </pivotTables>
  <data>
    <tabular pivotCacheId="1">
      <items count="12">
        <i x="1" s="1"/>
        <i x="7" s="1"/>
        <i x="0" s="1"/>
        <i x="3" s="1"/>
        <i x="2" s="1"/>
        <i x="6" s="1"/>
        <i x="4" s="1"/>
        <i x="5" s="1"/>
        <i x="8" s="1" nd="1"/>
        <i x="10" s="1" nd="1"/>
        <i x="9" s="1" nd="1"/>
        <i x="11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Année" cache="Segment_Années" caption="Année" columnCount="2" style="SlicerStyleOther1" rowHeight="241300"/>
  <slicer name="Mois" cache="Segment_Mois" caption="Mois" columnCount="2" style="SlicerStyleOther1" rowHeight="241300"/>
  <slicer name="Fournisseur" cache="Segment_Fournisseur" caption="Fournisseur" startItem="1" style="SlicerStyleLight3" rowHeight="241300"/>
</slicers>
</file>

<file path=xl/tables/table1.xml><?xml version="1.0" encoding="utf-8"?>
<table xmlns="http://schemas.openxmlformats.org/spreadsheetml/2006/main" id="1" name="DetteFrs" displayName="DetteFrs" ref="C13:P128" totalsRowShown="0" headerRowDxfId="62" dataDxfId="61">
  <autoFilter ref="C13:P128"/>
  <sortState ref="C14:N225">
    <sortCondition ref="C13:C225"/>
  </sortState>
  <tableColumns count="14">
    <tableColumn id="1" name="Date Saisie" dataDxfId="60"/>
    <tableColumn id="2" name="N°Facture" dataDxfId="59"/>
    <tableColumn id="3" name="Fournisseur" dataDxfId="58">
      <calculatedColumnFormula>IFERROR(VLOOKUP(DetteFrs[N°Tiers],Tableau5[[N°tiers]:[Fournisseur]],2,FALSE),"")</calculatedColumnFormula>
    </tableColumn>
    <tableColumn id="4" name="Catégorie" dataDxfId="57">
      <calculatedColumnFormula>VLOOKUP(DetteFrs[Fournisseur],Tableau5[[Fournisseur]:[Catégorie]],2,FALSE)</calculatedColumnFormula>
    </tableColumn>
    <tableColumn id="13" name="N°Tiers" dataDxfId="56"/>
    <tableColumn id="5" name="Net à Payer" dataDxfId="55"/>
    <tableColumn id="6" name="Montant Payé" dataDxfId="54">
      <calculatedColumnFormula>IFERROR(VLOOKUP(DetteFrs[N°Facture],ReglFrs[],7,FALSE),"0")</calculatedColumnFormula>
    </tableColumn>
    <tableColumn id="7" name="Solde" dataDxfId="53">
      <calculatedColumnFormula>IFERROR(DetteFrs[[#This Row],[Net à Payer]]-DetteFrs[[#This Row],[Montant Payé]],"")</calculatedColumnFormula>
    </tableColumn>
    <tableColumn id="8" name="Échéance" dataDxfId="52"/>
    <tableColumn id="9" name="Retard" dataDxfId="51">
      <calculatedColumnFormula>IF(DetteFrs[Solde]=0,"",(TODAY()-DetteFrs[[#This Row],[Échéance]]))</calculatedColumnFormula>
    </tableColumn>
    <tableColumn id="10" name="Satut" dataDxfId="50">
      <calculatedColumnFormula>IF(DetteFrs[Retard]="","Payé",IF(DetteFrs[Retard]&lt;=0,"Non Echue",IF(DetteFrs[Retard]&lt;=30,"Echue [1;30]",IF(DetteFrs[Retard]&lt;=60,"Echue [31;60]",IF(DetteFrs[Retard]&lt;=90,"Echue [61;90]","Echue &gt; 90")))))</calculatedColumnFormula>
    </tableColumn>
    <tableColumn id="11" name="Observations" dataDxfId="49"/>
    <tableColumn id="12" name="Mois" dataDxfId="48">
      <calculatedColumnFormula>+Tableau3[[#This Row],[Mois]]</calculatedColumnFormula>
    </tableColumn>
    <tableColumn id="14" name="Années" dataDxfId="47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3" name="Tableau3" displayName="Tableau3" ref="V13:W128" totalsRowShown="0" headerRowDxfId="46" dataDxfId="45">
  <autoFilter ref="V13:W128"/>
  <tableColumns count="2">
    <tableColumn id="1" name="Mois" dataDxfId="44">
      <calculatedColumnFormula>TEXT(DetteFrs[Date Saisie],"mmmm")</calculatedColumnFormula>
    </tableColumn>
    <tableColumn id="2" name="Années" dataDxfId="43">
      <calculatedColumnFormula>TEXT(DetteFrs[Date Saisie],"yyyy")</calculatedColumnFormula>
    </tableColumn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2" name="ReglFrs" displayName="ReglFrs" ref="C13:I46" totalsRowShown="0" headerRowDxfId="42" dataDxfId="41">
  <autoFilter ref="C13:I46"/>
  <tableColumns count="7">
    <tableColumn id="1" name="N°Facture" dataDxfId="40"/>
    <tableColumn id="3" name="Date règlement" dataDxfId="39"/>
    <tableColumn id="4" name="Fournisseur" dataDxfId="38">
      <calculatedColumnFormula>+VLOOKUP(ReglFrs[N°TIERS],Tableau5[[N°tiers]:[Fournisseur]],2,FALSE)</calculatedColumnFormula>
    </tableColumn>
    <tableColumn id="5" name="Reference" dataDxfId="37"/>
    <tableColumn id="6" name="Mode Règlement" dataDxfId="36"/>
    <tableColumn id="7" name="N°TIERS" dataDxfId="35"/>
    <tableColumn id="8" name="Montant Payé" dataDxfId="34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id="5" name="Tableau5" displayName="Tableau5" ref="C6:G119" totalsRowShown="0" headerRowDxfId="33" dataDxfId="32">
  <autoFilter ref="C6:G119"/>
  <tableColumns count="5">
    <tableColumn id="3" name="N°tiers" dataDxfId="31"/>
    <tableColumn id="4" name="Fournisseur" dataDxfId="30"/>
    <tableColumn id="2" name="Catégorie" dataDxfId="29"/>
    <tableColumn id="1" name="Contact" dataDxfId="28"/>
    <tableColumn id="5" name="NBCAR" dataDxfId="27">
      <calculatedColumnFormula>LEN(Tableau5[N°tiers])</calculatedColumnFormula>
    </tableColumn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id="4" name="DPO" displayName="DPO" ref="H9:P15" totalsRowShown="0" headerRowDxfId="16" headerRowBorderDxfId="15" tableBorderDxfId="14" totalsRowBorderDxfId="13">
  <autoFilter ref="H9:P15"/>
  <tableColumns count="9">
    <tableColumn id="1" name="date" dataDxfId="12"/>
    <tableColumn id="2" name="Total dette" dataDxfId="11">
      <calculatedColumnFormula>SUMIFS(DetteFrs[Net à Payer],DetteFrs[Date Saisie],"&gt;="&amp;H10,DetteFrs[Date Saisie],"&lt;="&amp;H10+O10-1)</calculatedColumnFormula>
    </tableColumn>
    <tableColumn id="3" name="Cumul Dettes" dataDxfId="10">
      <calculatedColumnFormula>J9+I10</calculatedColumnFormula>
    </tableColumn>
    <tableColumn id="4" name="Total Règlts." dataDxfId="9">
      <calculatedColumnFormula>SUMIFS(ReglFrs[Montant Payé],ReglFrs[Date règlement],"&gt;="&amp;H10,ReglFrs[Date règlement],"&lt;="&amp;H10+O10-1)</calculatedColumnFormula>
    </tableColumn>
    <tableColumn id="5" name="Cumul Règl." dataDxfId="8">
      <calculatedColumnFormula>+L9+K10</calculatedColumnFormula>
    </tableColumn>
    <tableColumn id="6" name="Dette" dataDxfId="7">
      <calculatedColumnFormula>J10-L10</calculatedColumnFormula>
    </tableColumn>
    <tableColumn id="7" name="DPO" dataDxfId="6">
      <calculatedColumnFormula>IFERROR(M10/I10*O10,"")</calculatedColumnFormula>
    </tableColumn>
    <tableColumn id="8" name="Nbre de jrs" dataDxfId="5">
      <calculatedColumnFormula>DAY(EOMONTH(H10,0))</calculatedColumnFormula>
    </tableColumn>
    <tableColumn id="9" name="DPO2" dataDxfId="4">
      <calculatedColumnFormula>+DPO[[#This Row],[DPO]]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Dpo_2" displayName="Dpo_2" ref="J17:M19" totalsRowShown="0" headerRowDxfId="3" headerRowBorderDxfId="2" tableBorderDxfId="1" totalsRowBorderDxfId="0">
  <autoFilter ref="J17:M19"/>
  <tableColumns count="4">
    <tableColumn id="1" name="Colonne1"/>
    <tableColumn id="2" name="Colonne2"/>
    <tableColumn id="3" name="Colonne3"/>
    <tableColumn id="4" name="Colonne4">
      <calculatedColumnFormula>(M14/J14*M17)</calculatedColumnFormula>
    </tableColumn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table" Target="../tables/table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table" Target="../tables/table5.xml"/><Relationship Id="rId5" Type="http://schemas.openxmlformats.org/officeDocument/2006/relationships/pivotTable" Target="../pivotTables/pivotTable5.xml"/><Relationship Id="rId10" Type="http://schemas.openxmlformats.org/officeDocument/2006/relationships/printerSettings" Target="../printerSettings/printerSettings5.bin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5:M38"/>
  <sheetViews>
    <sheetView showGridLines="0" tabSelected="1" zoomScale="70" zoomScaleNormal="70" zoomScaleSheetLayoutView="70" workbookViewId="0">
      <selection activeCell="D37" sqref="D37"/>
    </sheetView>
  </sheetViews>
  <sheetFormatPr baseColWidth="10" defaultRowHeight="15" x14ac:dyDescent="0.25"/>
  <cols>
    <col min="1" max="1" width="12.5703125" style="2" customWidth="1"/>
    <col min="2" max="2" width="11.28515625" style="2" customWidth="1"/>
    <col min="3" max="3" width="18.28515625" style="36" customWidth="1"/>
    <col min="4" max="4" width="22.42578125" style="36" customWidth="1"/>
    <col min="5" max="5" width="19.85546875" style="36" customWidth="1"/>
    <col min="6" max="6" width="22.28515625" style="36" customWidth="1"/>
    <col min="7" max="7" width="19.42578125" style="36" customWidth="1"/>
    <col min="8" max="8" width="24.140625" style="36" customWidth="1"/>
    <col min="9" max="9" width="21" style="36" customWidth="1"/>
    <col min="10" max="10" width="12.7109375" style="36" bestFit="1" customWidth="1"/>
    <col min="11" max="11" width="11.5703125" style="36" customWidth="1"/>
    <col min="12" max="12" width="12.5703125" style="36" customWidth="1"/>
    <col min="13" max="13" width="11.28515625" style="36" customWidth="1"/>
    <col min="14" max="14" width="12.5703125" style="36" customWidth="1"/>
    <col min="15" max="16384" width="11.42578125" style="36"/>
  </cols>
  <sheetData>
    <row r="5" spans="3:13" ht="17.25" x14ac:dyDescent="0.3">
      <c r="C5" s="79"/>
      <c r="D5" s="80"/>
      <c r="E5" s="35"/>
    </row>
    <row r="6" spans="3:13" ht="16.5" x14ac:dyDescent="0.3">
      <c r="C6" s="78"/>
      <c r="D6" s="78"/>
      <c r="E6" s="78"/>
      <c r="F6" s="78"/>
      <c r="J6" s="36" t="s">
        <v>153</v>
      </c>
    </row>
    <row r="7" spans="3:13" ht="16.5" customHeight="1" x14ac:dyDescent="0.25">
      <c r="C7" s="35"/>
      <c r="D7" s="35"/>
      <c r="E7" s="35"/>
      <c r="F7" s="35"/>
    </row>
    <row r="8" spans="3:13" ht="16.5" x14ac:dyDescent="0.25">
      <c r="C8" s="37"/>
      <c r="D8" s="37"/>
      <c r="E8" s="37"/>
      <c r="F8" s="37"/>
      <c r="G8" s="37"/>
      <c r="H8" s="37"/>
    </row>
    <row r="9" spans="3:13" ht="15.75" customHeight="1" x14ac:dyDescent="0.25">
      <c r="C9" s="38"/>
      <c r="D9" s="37"/>
      <c r="E9" s="37"/>
      <c r="F9" s="37"/>
      <c r="G9" s="37"/>
      <c r="H9" s="37"/>
    </row>
    <row r="10" spans="3:13" ht="16.5" x14ac:dyDescent="0.25">
      <c r="C10" s="37"/>
      <c r="D10" s="37"/>
      <c r="E10" s="37"/>
      <c r="F10" s="37"/>
      <c r="G10" s="37"/>
      <c r="H10" s="37"/>
    </row>
    <row r="12" spans="3:13" ht="20.100000000000001" customHeight="1" x14ac:dyDescent="0.25">
      <c r="C12" s="86"/>
      <c r="D12" s="87"/>
    </row>
    <row r="13" spans="3:13" ht="16.5" x14ac:dyDescent="0.3">
      <c r="C13" s="39"/>
      <c r="D13" s="39"/>
      <c r="E13" s="39"/>
      <c r="F13" s="39"/>
      <c r="G13" s="39"/>
      <c r="H13" s="39"/>
      <c r="I13" s="39"/>
      <c r="J13" s="39"/>
      <c r="K13" s="39"/>
      <c r="L13" s="39"/>
      <c r="M13" s="39"/>
    </row>
    <row r="38" spans="10:10" x14ac:dyDescent="0.25">
      <c r="J38" s="40"/>
    </row>
  </sheetData>
  <sheetProtection selectLockedCells="1"/>
  <mergeCells count="1">
    <mergeCell ref="C12:D12"/>
  </mergeCells>
  <pageMargins left="0" right="0" top="0" bottom="0" header="0" footer="0"/>
  <pageSetup paperSize="9" scale="10" orientation="landscape" r:id="rId1"/>
  <headerFooter scaleWithDoc="0" alignWithMargins="0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1:W663"/>
  <sheetViews>
    <sheetView showGridLines="0" zoomScale="57" zoomScaleNormal="57" workbookViewId="0">
      <pane ySplit="13" topLeftCell="A14" activePane="bottomLeft" state="frozen"/>
      <selection pane="bottomLeft" activeCell="F5" sqref="F5"/>
    </sheetView>
  </sheetViews>
  <sheetFormatPr baseColWidth="10" defaultRowHeight="15" x14ac:dyDescent="0.25"/>
  <cols>
    <col min="1" max="1" width="4.42578125" style="1" customWidth="1"/>
    <col min="2" max="2" width="4.42578125" style="2" customWidth="1"/>
    <col min="3" max="3" width="18.42578125" style="2" customWidth="1"/>
    <col min="4" max="4" width="22.42578125" style="2" customWidth="1"/>
    <col min="5" max="5" width="19.85546875" style="2" customWidth="1"/>
    <col min="6" max="6" width="22.28515625" style="2" customWidth="1"/>
    <col min="7" max="7" width="19.42578125" style="2" customWidth="1"/>
    <col min="8" max="8" width="24.140625" style="2" customWidth="1"/>
    <col min="9" max="9" width="21" style="2" customWidth="1"/>
    <col min="10" max="10" width="24.42578125" style="2" bestFit="1" customWidth="1"/>
    <col min="11" max="11" width="16.28515625" style="2" customWidth="1"/>
    <col min="12" max="12" width="16.85546875" style="2" customWidth="1"/>
    <col min="13" max="13" width="23.85546875" style="2" customWidth="1"/>
    <col min="14" max="14" width="30.85546875" style="2" customWidth="1"/>
    <col min="15" max="16384" width="11.42578125" style="1"/>
  </cols>
  <sheetData>
    <row r="1" spans="2:23" s="2" customFormat="1" x14ac:dyDescent="0.25"/>
    <row r="2" spans="2:23" s="2" customFormat="1" x14ac:dyDescent="0.25"/>
    <row r="3" spans="2:23" x14ac:dyDescent="0.25"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</row>
    <row r="5" spans="2:23" ht="17.25" x14ac:dyDescent="0.3">
      <c r="C5" s="93" t="s">
        <v>11</v>
      </c>
      <c r="D5" s="94"/>
      <c r="E5" s="3"/>
    </row>
    <row r="6" spans="2:23" ht="16.5" x14ac:dyDescent="0.3">
      <c r="C6" s="90" t="s">
        <v>12</v>
      </c>
      <c r="D6" s="90"/>
      <c r="E6" s="90"/>
      <c r="F6" s="90"/>
    </row>
    <row r="7" spans="2:23" ht="16.5" customHeight="1" x14ac:dyDescent="0.25">
      <c r="C7" s="3"/>
      <c r="D7" s="3"/>
      <c r="E7" s="3"/>
      <c r="F7" s="3"/>
    </row>
    <row r="8" spans="2:23" ht="16.5" x14ac:dyDescent="0.25">
      <c r="C8" s="10" t="s">
        <v>143</v>
      </c>
      <c r="D8" s="18"/>
      <c r="E8" s="10" t="s">
        <v>196</v>
      </c>
      <c r="F8" s="19">
        <f ca="1">TODAY()</f>
        <v>45829</v>
      </c>
      <c r="G8" s="10" t="s">
        <v>144</v>
      </c>
      <c r="H8" s="19"/>
    </row>
    <row r="9" spans="2:23" ht="15.75" customHeight="1" x14ac:dyDescent="0.25">
      <c r="C9" s="4"/>
      <c r="D9" s="3"/>
      <c r="E9" s="5"/>
      <c r="F9" s="3"/>
      <c r="G9" s="5"/>
    </row>
    <row r="10" spans="2:23" ht="16.5" x14ac:dyDescent="0.25">
      <c r="C10" s="10" t="s">
        <v>0</v>
      </c>
      <c r="D10" s="9" t="str">
        <f>IFERROR(VLOOKUP($D$8,Tableau5[[N°tiers]:[Fournisseur]],2,FALSE),"")</f>
        <v/>
      </c>
      <c r="E10" s="10" t="s">
        <v>146</v>
      </c>
      <c r="F10" s="9"/>
      <c r="G10" s="10" t="s">
        <v>145</v>
      </c>
      <c r="H10" s="20"/>
    </row>
    <row r="12" spans="2:23" ht="20.100000000000001" customHeight="1" x14ac:dyDescent="0.25">
      <c r="C12" s="91" t="s">
        <v>13</v>
      </c>
      <c r="D12" s="92"/>
    </row>
    <row r="13" spans="2:23" ht="16.5" x14ac:dyDescent="0.3">
      <c r="C13" s="7" t="s">
        <v>1</v>
      </c>
      <c r="D13" s="7" t="s">
        <v>2</v>
      </c>
      <c r="E13" s="7" t="s">
        <v>0</v>
      </c>
      <c r="F13" s="7" t="s">
        <v>3</v>
      </c>
      <c r="G13" s="7" t="s">
        <v>135</v>
      </c>
      <c r="H13" s="7" t="s">
        <v>4</v>
      </c>
      <c r="I13" s="7" t="s">
        <v>5</v>
      </c>
      <c r="J13" s="25" t="s">
        <v>8</v>
      </c>
      <c r="K13" s="24" t="s">
        <v>6</v>
      </c>
      <c r="L13" s="7" t="s">
        <v>7</v>
      </c>
      <c r="M13" s="7" t="s">
        <v>9</v>
      </c>
      <c r="N13" s="7" t="s">
        <v>10</v>
      </c>
      <c r="O13" s="7" t="s">
        <v>172</v>
      </c>
      <c r="P13" s="7" t="s">
        <v>173</v>
      </c>
      <c r="U13" s="1" t="s">
        <v>174</v>
      </c>
      <c r="V13" s="1" t="s">
        <v>172</v>
      </c>
      <c r="W13" s="1" t="s">
        <v>173</v>
      </c>
    </row>
    <row r="14" spans="2:23" ht="16.5" x14ac:dyDescent="0.25">
      <c r="C14" s="29">
        <v>45826</v>
      </c>
      <c r="D14" s="21" t="s">
        <v>195</v>
      </c>
      <c r="E14" s="8" t="str">
        <f>IFERROR(VLOOKUP(DetteFrs[N°Tiers],Tableau5[[N°tiers]:[Fournisseur]],2,FALSE),"")</f>
        <v>CMACGM C OTE D IVOIRE</v>
      </c>
      <c r="F14" s="23" t="str">
        <f>VLOOKUP(DetteFrs[Fournisseur],Tableau5[[Fournisseur]:[Catégorie]],2,FALSE)</f>
        <v>FRS METIERS</v>
      </c>
      <c r="G14" s="21">
        <v>4011100004</v>
      </c>
      <c r="H14" s="25">
        <v>100900000</v>
      </c>
      <c r="I14" s="25" t="str">
        <f>IFERROR(VLOOKUP(DetteFrs[N°Facture],ReglFrs[],7,FALSE),"0")</f>
        <v>0</v>
      </c>
      <c r="J14" s="25">
        <f>IFERROR(DetteFrs[[#This Row],[Net à Payer]]-DetteFrs[[#This Row],[Montant Payé]],"")</f>
        <v>100900000</v>
      </c>
      <c r="K14" s="24">
        <v>45887</v>
      </c>
      <c r="L14" s="28">
        <f ca="1">IF(DetteFrs[Solde]=0,"",(TODAY()-DetteFrs[[#This Row],[Échéance]]))</f>
        <v>-58</v>
      </c>
      <c r="M14" s="22" t="str">
        <f ca="1">IF(DetteFrs[Retard]="","Payé",IF(DetteFrs[Retard]&lt;=0,"Non Echue",IF(DetteFrs[Retard]&lt;=30,"Echue [1;30]",IF(DetteFrs[Retard]&lt;=60,"Echue [31;60]",IF(DetteFrs[Retard]&lt;=90,"Echue [61;90]","Echue &gt; 90")))))</f>
        <v>Non Echue</v>
      </c>
      <c r="O14" s="2" t="str">
        <f>+Tableau3[[#This Row],[Mois]]</f>
        <v>juin</v>
      </c>
      <c r="P14" s="2" t="str">
        <f>Tableau3[[#This Row],[Années]]</f>
        <v>2025</v>
      </c>
      <c r="U14" s="1">
        <f>IFERROR(MONTH(DetteFrs[Date Saisie]),"")</f>
        <v>6</v>
      </c>
      <c r="V14" s="1" t="str">
        <f>TEXT(DetteFrs[Date Saisie],"mmmm")</f>
        <v>juin</v>
      </c>
      <c r="W14" s="1" t="str">
        <f>TEXT(DetteFrs[Date Saisie],"yyyy")</f>
        <v>2025</v>
      </c>
    </row>
    <row r="15" spans="2:23" ht="16.5" x14ac:dyDescent="0.25">
      <c r="C15" s="29">
        <v>45695</v>
      </c>
      <c r="D15" s="21">
        <v>25800093</v>
      </c>
      <c r="E15" s="8" t="str">
        <f>IFERROR(VLOOKUP(DetteFrs[N°Tiers],Tableau5[[N°tiers]:[Fournisseur]],2,FALSE),"")</f>
        <v>AFRICA GLOBAL LOGISTICS</v>
      </c>
      <c r="F15" s="23" t="str">
        <f>VLOOKUP(DetteFrs[Fournisseur],Tableau5[[Fournisseur]:[Catégorie]],2,FALSE)</f>
        <v>FRS METIERS</v>
      </c>
      <c r="G15" s="21">
        <v>4011100001</v>
      </c>
      <c r="H15" s="25">
        <v>426400</v>
      </c>
      <c r="I15" s="25" t="str">
        <f>IFERROR(VLOOKUP(DetteFrs[N°Facture],ReglFrs[],7,FALSE),"0")</f>
        <v>0</v>
      </c>
      <c r="J15" s="25">
        <f>IFERROR(DetteFrs[[#This Row],[Net à Payer]]-DetteFrs[[#This Row],[Montant Payé]],"")</f>
        <v>426400</v>
      </c>
      <c r="K15" s="24">
        <v>45695</v>
      </c>
      <c r="L15" s="28">
        <f ca="1">IF(DetteFrs[Solde]=0,"",(TODAY()-DetteFrs[[#This Row],[Échéance]]))</f>
        <v>134</v>
      </c>
      <c r="M15" s="22" t="str">
        <f ca="1">IF(DetteFrs[Retard]="","Payé",IF(DetteFrs[Retard]&lt;=0,"Non Echue",IF(DetteFrs[Retard]&lt;=30,"Echue [1;30]",IF(DetteFrs[Retard]&lt;=60,"Echue [31;60]",IF(DetteFrs[Retard]&lt;=90,"Echue [61;90]","Echue &gt; 90")))))</f>
        <v>Echue &gt; 90</v>
      </c>
      <c r="O15" s="2" t="str">
        <f>+Tableau3[[#This Row],[Mois]]</f>
        <v>février</v>
      </c>
      <c r="P15" s="2" t="s">
        <v>175</v>
      </c>
      <c r="U15" s="1">
        <f>IFERROR(MONTH(DetteFrs[Date Saisie]),"")</f>
        <v>2</v>
      </c>
      <c r="V15" s="1" t="str">
        <f>TEXT(DetteFrs[Date Saisie],"mmmm")</f>
        <v>février</v>
      </c>
      <c r="W15" s="1" t="str">
        <f>TEXT(DetteFrs[Date Saisie],"yyyy")</f>
        <v>2025</v>
      </c>
    </row>
    <row r="16" spans="2:23" ht="16.5" x14ac:dyDescent="0.25">
      <c r="C16" s="29">
        <v>45695</v>
      </c>
      <c r="D16" s="21">
        <v>25800094</v>
      </c>
      <c r="E16" s="8" t="str">
        <f>IFERROR(VLOOKUP(DetteFrs[N°Tiers],Tableau5[[N°tiers]:[Fournisseur]],2,FALSE),"")</f>
        <v>AFRICA GLOBAL LOGISTICS</v>
      </c>
      <c r="F16" s="23" t="str">
        <f>VLOOKUP(DetteFrs[Fournisseur],Tableau5[[Fournisseur]:[Catégorie]],2,FALSE)</f>
        <v>FRS METIERS</v>
      </c>
      <c r="G16" s="21">
        <v>4011100001</v>
      </c>
      <c r="H16" s="25">
        <v>426400</v>
      </c>
      <c r="I16" s="25" t="str">
        <f>IFERROR(VLOOKUP(DetteFrs[N°Facture],ReglFrs[],7,FALSE),"0")</f>
        <v>0</v>
      </c>
      <c r="J16" s="25">
        <f>IFERROR(DetteFrs[[#This Row],[Net à Payer]]-DetteFrs[[#This Row],[Montant Payé]],"")</f>
        <v>426400</v>
      </c>
      <c r="K16" s="24">
        <v>45695</v>
      </c>
      <c r="L16" s="28">
        <f ca="1">IF(DetteFrs[Solde]=0,"",(TODAY()-DetteFrs[[#This Row],[Échéance]]))</f>
        <v>134</v>
      </c>
      <c r="M16" s="22" t="str">
        <f ca="1">IF(DetteFrs[Retard]="","Payé",IF(DetteFrs[Retard]&lt;=0,"Non Echue",IF(DetteFrs[Retard]&lt;=30,"Echue [1;30]",IF(DetteFrs[Retard]&lt;=60,"Echue [31;60]",IF(DetteFrs[Retard]&lt;=90,"Echue [61;90]","Echue &gt; 90")))))</f>
        <v>Echue &gt; 90</v>
      </c>
      <c r="O16" s="2" t="str">
        <f>+Tableau3[[#This Row],[Mois]]</f>
        <v>février</v>
      </c>
      <c r="P16" s="2" t="s">
        <v>175</v>
      </c>
      <c r="U16" s="1">
        <f>IFERROR(MONTH(DetteFrs[Date Saisie]),"")</f>
        <v>2</v>
      </c>
      <c r="V16" s="1" t="str">
        <f>TEXT(DetteFrs[Date Saisie],"mmmm")</f>
        <v>février</v>
      </c>
      <c r="W16" s="1" t="str">
        <f>TEXT(DetteFrs[Date Saisie],"yyyy")</f>
        <v>2025</v>
      </c>
    </row>
    <row r="17" spans="3:23" ht="16.5" x14ac:dyDescent="0.25">
      <c r="C17" s="29">
        <v>45695</v>
      </c>
      <c r="D17" s="21">
        <v>25800095</v>
      </c>
      <c r="E17" s="8" t="str">
        <f>IFERROR(VLOOKUP(DetteFrs[N°Tiers],Tableau5[[N°tiers]:[Fournisseur]],2,FALSE),"")</f>
        <v>AFRICA GLOBAL LOGISTICS</v>
      </c>
      <c r="F17" s="23" t="str">
        <f>VLOOKUP(DetteFrs[Fournisseur],Tableau5[[Fournisseur]:[Catégorie]],2,FALSE)</f>
        <v>FRS METIERS</v>
      </c>
      <c r="G17" s="21">
        <v>4011100001</v>
      </c>
      <c r="H17" s="25">
        <v>698100</v>
      </c>
      <c r="I17" s="25" t="str">
        <f>IFERROR(VLOOKUP(DetteFrs[N°Facture],ReglFrs[],7,FALSE),"0")</f>
        <v>0</v>
      </c>
      <c r="J17" s="25">
        <f>IFERROR(DetteFrs[[#This Row],[Net à Payer]]-DetteFrs[[#This Row],[Montant Payé]],"")</f>
        <v>698100</v>
      </c>
      <c r="K17" s="24">
        <v>45695</v>
      </c>
      <c r="L17" s="28">
        <f ca="1">IF(DetteFrs[Solde]=0,"",(TODAY()-DetteFrs[[#This Row],[Échéance]]))</f>
        <v>134</v>
      </c>
      <c r="M17" s="22" t="str">
        <f ca="1">IF(DetteFrs[Retard]="","Payé",IF(DetteFrs[Retard]&lt;=0,"Non Echue",IF(DetteFrs[Retard]&lt;=30,"Echue [1;30]",IF(DetteFrs[Retard]&lt;=60,"Echue [31;60]",IF(DetteFrs[Retard]&lt;=90,"Echue [61;90]","Echue &gt; 90")))))</f>
        <v>Echue &gt; 90</v>
      </c>
      <c r="O17" s="2" t="str">
        <f>+Tableau3[[#This Row],[Mois]]</f>
        <v>février</v>
      </c>
      <c r="P17" s="2" t="s">
        <v>175</v>
      </c>
      <c r="U17" s="1">
        <f>IFERROR(MONTH(DetteFrs[Date Saisie]),"")</f>
        <v>2</v>
      </c>
      <c r="V17" s="1" t="str">
        <f>TEXT(DetteFrs[Date Saisie],"mmmm")</f>
        <v>février</v>
      </c>
      <c r="W17" s="1" t="str">
        <f>TEXT(DetteFrs[Date Saisie],"yyyy")</f>
        <v>2025</v>
      </c>
    </row>
    <row r="18" spans="3:23" ht="16.5" x14ac:dyDescent="0.25">
      <c r="C18" s="29">
        <v>45695</v>
      </c>
      <c r="D18" s="21">
        <v>25800096</v>
      </c>
      <c r="E18" s="8" t="str">
        <f>IFERROR(VLOOKUP(DetteFrs[N°Tiers],Tableau5[[N°tiers]:[Fournisseur]],2,FALSE),"")</f>
        <v>AFRICA GLOBAL LOGISTICS</v>
      </c>
      <c r="F18" s="23" t="str">
        <f>VLOOKUP(DetteFrs[Fournisseur],Tableau5[[Fournisseur]:[Catégorie]],2,FALSE)</f>
        <v>FRS METIERS</v>
      </c>
      <c r="G18" s="21">
        <v>4011100001</v>
      </c>
      <c r="H18" s="25">
        <v>1745250</v>
      </c>
      <c r="I18" s="25">
        <f>IFERROR(VLOOKUP(DetteFrs[N°Facture],ReglFrs[],7,FALSE),"0")</f>
        <v>1745250</v>
      </c>
      <c r="J18" s="25">
        <f>IFERROR(DetteFrs[[#This Row],[Net à Payer]]-DetteFrs[[#This Row],[Montant Payé]],"")</f>
        <v>0</v>
      </c>
      <c r="K18" s="24">
        <v>45695</v>
      </c>
      <c r="L18" s="28" t="str">
        <f ca="1">IF(DetteFrs[Solde]=0,"",(TODAY()-DetteFrs[[#This Row],[Échéance]]))</f>
        <v/>
      </c>
      <c r="M18" s="22" t="str">
        <f ca="1">IF(DetteFrs[Retard]="","Payé",IF(DetteFrs[Retard]&lt;=0,"Non Echue",IF(DetteFrs[Retard]&lt;=30,"Echue [1;30]",IF(DetteFrs[Retard]&lt;=60,"Echue [31;60]",IF(DetteFrs[Retard]&lt;=90,"Echue [61;90]","Echue &gt; 90")))))</f>
        <v>Payé</v>
      </c>
      <c r="O18" s="2" t="str">
        <f>+Tableau3[[#This Row],[Mois]]</f>
        <v>février</v>
      </c>
      <c r="P18" s="2" t="s">
        <v>175</v>
      </c>
      <c r="U18" s="1">
        <f>IFERROR(MONTH(DetteFrs[Date Saisie]),"")</f>
        <v>2</v>
      </c>
      <c r="V18" s="1" t="str">
        <f>TEXT(DetteFrs[Date Saisie],"mmmm")</f>
        <v>février</v>
      </c>
      <c r="W18" s="1" t="str">
        <f>TEXT(DetteFrs[Date Saisie],"yyyy")</f>
        <v>2025</v>
      </c>
    </row>
    <row r="19" spans="3:23" ht="16.5" x14ac:dyDescent="0.25">
      <c r="C19" s="29">
        <v>45695</v>
      </c>
      <c r="D19" s="21">
        <v>25800114</v>
      </c>
      <c r="E19" s="8" t="str">
        <f>IFERROR(VLOOKUP(DetteFrs[N°Tiers],Tableau5[[N°tiers]:[Fournisseur]],2,FALSE),"")</f>
        <v>AFRICA GLOBAL LOGISTICS</v>
      </c>
      <c r="F19" s="23" t="str">
        <f>VLOOKUP(DetteFrs[Fournisseur],Tableau5[[Fournisseur]:[Catégorie]],2,FALSE)</f>
        <v>FRS METIERS</v>
      </c>
      <c r="G19" s="21">
        <v>4011100001</v>
      </c>
      <c r="H19" s="25">
        <v>639600</v>
      </c>
      <c r="I19" s="25" t="str">
        <f>IFERROR(VLOOKUP(DetteFrs[N°Facture],ReglFrs[],7,FALSE),"0")</f>
        <v>0</v>
      </c>
      <c r="J19" s="25">
        <f>IFERROR(DetteFrs[[#This Row],[Net à Payer]]-DetteFrs[[#This Row],[Montant Payé]],"")</f>
        <v>639600</v>
      </c>
      <c r="K19" s="24">
        <v>45695</v>
      </c>
      <c r="L19" s="28">
        <f ca="1">IF(DetteFrs[Solde]=0,"",(TODAY()-DetteFrs[[#This Row],[Échéance]]))</f>
        <v>134</v>
      </c>
      <c r="M19" s="22" t="str">
        <f ca="1">IF(DetteFrs[Retard]="","Payé",IF(DetteFrs[Retard]&lt;=0,"Non Echue",IF(DetteFrs[Retard]&lt;=30,"Echue [1;30]",IF(DetteFrs[Retard]&lt;=60,"Echue [31;60]",IF(DetteFrs[Retard]&lt;=90,"Echue [61;90]","Echue &gt; 90")))))</f>
        <v>Echue &gt; 90</v>
      </c>
      <c r="O19" s="2" t="str">
        <f>+Tableau3[[#This Row],[Mois]]</f>
        <v>février</v>
      </c>
      <c r="P19" s="2" t="s">
        <v>175</v>
      </c>
      <c r="U19" s="1">
        <f>IFERROR(MONTH(DetteFrs[Date Saisie]),"")</f>
        <v>2</v>
      </c>
      <c r="V19" s="1" t="str">
        <f>TEXT(DetteFrs[Date Saisie],"mmmm")</f>
        <v>février</v>
      </c>
      <c r="W19" s="1" t="str">
        <f>TEXT(DetteFrs[Date Saisie],"yyyy")</f>
        <v>2025</v>
      </c>
    </row>
    <row r="20" spans="3:23" ht="16.5" x14ac:dyDescent="0.25">
      <c r="C20" s="29">
        <v>45695</v>
      </c>
      <c r="D20" s="21">
        <v>25800200</v>
      </c>
      <c r="E20" s="8" t="str">
        <f>IFERROR(VLOOKUP(DetteFrs[N°Tiers],Tableau5[[N°tiers]:[Fournisseur]],2,FALSE),"")</f>
        <v>AFRICA GLOBAL LOGISTICS</v>
      </c>
      <c r="F20" s="23" t="str">
        <f>VLOOKUP(DetteFrs[Fournisseur],Tableau5[[Fournisseur]:[Catégorie]],2,FALSE)</f>
        <v>FRS METIERS</v>
      </c>
      <c r="G20" s="21">
        <v>4011100001</v>
      </c>
      <c r="H20" s="25">
        <v>349050</v>
      </c>
      <c r="I20" s="25" t="str">
        <f>IFERROR(VLOOKUP(DetteFrs[N°Facture],ReglFrs[],7,FALSE),"0")</f>
        <v>0</v>
      </c>
      <c r="J20" s="25">
        <f>IFERROR(DetteFrs[[#This Row],[Net à Payer]]-DetteFrs[[#This Row],[Montant Payé]],"")</f>
        <v>349050</v>
      </c>
      <c r="K20" s="24">
        <v>45695</v>
      </c>
      <c r="L20" s="28">
        <f ca="1">IF(DetteFrs[Solde]=0,"",(TODAY()-DetteFrs[[#This Row],[Échéance]]))</f>
        <v>134</v>
      </c>
      <c r="M20" s="22" t="str">
        <f ca="1">IF(DetteFrs[Retard]="","Payé",IF(DetteFrs[Retard]&lt;=0,"Non Echue",IF(DetteFrs[Retard]&lt;=30,"Echue [1;30]",IF(DetteFrs[Retard]&lt;=60,"Echue [31;60]",IF(DetteFrs[Retard]&lt;=90,"Echue [61;90]","Echue &gt; 90")))))</f>
        <v>Echue &gt; 90</v>
      </c>
      <c r="O20" s="2" t="str">
        <f>+Tableau3[[#This Row],[Mois]]</f>
        <v>février</v>
      </c>
      <c r="P20" s="2" t="s">
        <v>175</v>
      </c>
      <c r="U20" s="1">
        <f>IFERROR(MONTH(DetteFrs[Date Saisie]),"")</f>
        <v>2</v>
      </c>
      <c r="V20" s="1" t="str">
        <f>TEXT(DetteFrs[Date Saisie],"mmmm")</f>
        <v>février</v>
      </c>
      <c r="W20" s="1" t="str">
        <f>TEXT(DetteFrs[Date Saisie],"yyyy")</f>
        <v>2025</v>
      </c>
    </row>
    <row r="21" spans="3:23" ht="16.5" x14ac:dyDescent="0.25">
      <c r="C21" s="29">
        <v>45695</v>
      </c>
      <c r="D21" s="21">
        <v>25800248</v>
      </c>
      <c r="E21" s="8" t="str">
        <f>IFERROR(VLOOKUP(DetteFrs[N°Tiers],Tableau5[[N°tiers]:[Fournisseur]],2,FALSE),"")</f>
        <v>AFRICA GLOBAL LOGISTICS</v>
      </c>
      <c r="F21" s="23" t="str">
        <f>VLOOKUP(DetteFrs[Fournisseur],Tableau5[[Fournisseur]:[Catégorie]],2,FALSE)</f>
        <v>FRS METIERS</v>
      </c>
      <c r="G21" s="21">
        <v>4011100001</v>
      </c>
      <c r="H21" s="25">
        <v>350000</v>
      </c>
      <c r="I21" s="25" t="str">
        <f>IFERROR(VLOOKUP(DetteFrs[N°Facture],ReglFrs[],7,FALSE),"0")</f>
        <v>0</v>
      </c>
      <c r="J21" s="25">
        <f>IFERROR(DetteFrs[[#This Row],[Net à Payer]]-DetteFrs[[#This Row],[Montant Payé]],"")</f>
        <v>350000</v>
      </c>
      <c r="K21" s="24">
        <v>45695</v>
      </c>
      <c r="L21" s="28">
        <f ca="1">IF(DetteFrs[Solde]=0,"",(TODAY()-DetteFrs[[#This Row],[Échéance]]))</f>
        <v>134</v>
      </c>
      <c r="M21" s="22" t="str">
        <f ca="1">IF(DetteFrs[Retard]="","Payé",IF(DetteFrs[Retard]&lt;=0,"Non Echue",IF(DetteFrs[Retard]&lt;=30,"Echue [1;30]",IF(DetteFrs[Retard]&lt;=60,"Echue [31;60]",IF(DetteFrs[Retard]&lt;=90,"Echue [61;90]","Echue &gt; 90")))))</f>
        <v>Echue &gt; 90</v>
      </c>
      <c r="O21" s="2" t="str">
        <f>+Tableau3[[#This Row],[Mois]]</f>
        <v>février</v>
      </c>
      <c r="P21" s="2" t="s">
        <v>175</v>
      </c>
      <c r="U21" s="1">
        <f>IFERROR(MONTH(DetteFrs[Date Saisie]),"")</f>
        <v>2</v>
      </c>
      <c r="V21" s="1" t="str">
        <f>TEXT(DetteFrs[Date Saisie],"mmmm")</f>
        <v>février</v>
      </c>
      <c r="W21" s="1" t="str">
        <f>TEXT(DetteFrs[Date Saisie],"yyyy")</f>
        <v>2025</v>
      </c>
    </row>
    <row r="22" spans="3:23" ht="16.5" x14ac:dyDescent="0.25">
      <c r="C22" s="29">
        <v>45695</v>
      </c>
      <c r="D22" s="21">
        <v>25800250</v>
      </c>
      <c r="E22" s="8" t="str">
        <f>IFERROR(VLOOKUP(DetteFrs[N°Tiers],Tableau5[[N°tiers]:[Fournisseur]],2,FALSE),"")</f>
        <v>AFRICA GLOBAL LOGISTICS</v>
      </c>
      <c r="F22" s="23" t="str">
        <f>VLOOKUP(DetteFrs[Fournisseur],Tableau5[[Fournisseur]:[Catégorie]],2,FALSE)</f>
        <v>FRS METIERS</v>
      </c>
      <c r="G22" s="21">
        <v>4011100001</v>
      </c>
      <c r="H22" s="25">
        <v>175000</v>
      </c>
      <c r="I22" s="25" t="str">
        <f>IFERROR(VLOOKUP(DetteFrs[N°Facture],ReglFrs[],7,FALSE),"0")</f>
        <v>0</v>
      </c>
      <c r="J22" s="25">
        <f>IFERROR(DetteFrs[[#This Row],[Net à Payer]]-DetteFrs[[#This Row],[Montant Payé]],"")</f>
        <v>175000</v>
      </c>
      <c r="K22" s="24">
        <v>45695</v>
      </c>
      <c r="L22" s="28">
        <f ca="1">IF(DetteFrs[Solde]=0,"",(TODAY()-DetteFrs[[#This Row],[Échéance]]))</f>
        <v>134</v>
      </c>
      <c r="M22" s="22" t="str">
        <f ca="1">IF(DetteFrs[Retard]="","Payé",IF(DetteFrs[Retard]&lt;=0,"Non Echue",IF(DetteFrs[Retard]&lt;=30,"Echue [1;30]",IF(DetteFrs[Retard]&lt;=60,"Echue [31;60]",IF(DetteFrs[Retard]&lt;=90,"Echue [61;90]","Echue &gt; 90")))))</f>
        <v>Echue &gt; 90</v>
      </c>
      <c r="O22" s="2" t="str">
        <f>+Tableau3[[#This Row],[Mois]]</f>
        <v>février</v>
      </c>
      <c r="P22" s="2" t="s">
        <v>175</v>
      </c>
      <c r="U22" s="1">
        <f>IFERROR(MONTH(DetteFrs[Date Saisie]),"")</f>
        <v>2</v>
      </c>
      <c r="V22" s="1" t="str">
        <f>TEXT(DetteFrs[Date Saisie],"mmmm")</f>
        <v>février</v>
      </c>
      <c r="W22" s="1" t="str">
        <f>TEXT(DetteFrs[Date Saisie],"yyyy")</f>
        <v>2025</v>
      </c>
    </row>
    <row r="23" spans="3:23" ht="16.5" x14ac:dyDescent="0.25">
      <c r="C23" s="29">
        <v>45695</v>
      </c>
      <c r="D23" s="21">
        <v>25800252</v>
      </c>
      <c r="E23" s="8" t="str">
        <f>IFERROR(VLOOKUP(DetteFrs[N°Tiers],Tableau5[[N°tiers]:[Fournisseur]],2,FALSE),"")</f>
        <v>AFRICA GLOBAL LOGISTICS</v>
      </c>
      <c r="F23" s="23" t="str">
        <f>VLOOKUP(DetteFrs[Fournisseur],Tableau5[[Fournisseur]:[Catégorie]],2,FALSE)</f>
        <v>FRS METIERS</v>
      </c>
      <c r="G23" s="21">
        <v>4011100001</v>
      </c>
      <c r="H23" s="25">
        <v>280000</v>
      </c>
      <c r="I23" s="25" t="str">
        <f>IFERROR(VLOOKUP(DetteFrs[N°Facture],ReglFrs[],7,FALSE),"0")</f>
        <v>0</v>
      </c>
      <c r="J23" s="25">
        <f>IFERROR(DetteFrs[[#This Row],[Net à Payer]]-DetteFrs[[#This Row],[Montant Payé]],"")</f>
        <v>280000</v>
      </c>
      <c r="K23" s="24">
        <v>45695</v>
      </c>
      <c r="L23" s="28">
        <f ca="1">IF(DetteFrs[Solde]=0,"",(TODAY()-DetteFrs[[#This Row],[Échéance]]))</f>
        <v>134</v>
      </c>
      <c r="M23" s="22" t="str">
        <f ca="1">IF(DetteFrs[Retard]="","Payé",IF(DetteFrs[Retard]&lt;=0,"Non Echue",IF(DetteFrs[Retard]&lt;=30,"Echue [1;30]",IF(DetteFrs[Retard]&lt;=60,"Echue [31;60]",IF(DetteFrs[Retard]&lt;=90,"Echue [61;90]","Echue &gt; 90")))))</f>
        <v>Echue &gt; 90</v>
      </c>
      <c r="O23" s="2" t="str">
        <f>+Tableau3[[#This Row],[Mois]]</f>
        <v>février</v>
      </c>
      <c r="P23" s="2" t="s">
        <v>175</v>
      </c>
      <c r="U23" s="1">
        <f>IFERROR(MONTH(DetteFrs[Date Saisie]),"")</f>
        <v>2</v>
      </c>
      <c r="V23" s="1" t="str">
        <f>TEXT(DetteFrs[Date Saisie],"mmmm")</f>
        <v>février</v>
      </c>
      <c r="W23" s="1" t="str">
        <f>TEXT(DetteFrs[Date Saisie],"yyyy")</f>
        <v>2025</v>
      </c>
    </row>
    <row r="24" spans="3:23" ht="16.5" x14ac:dyDescent="0.25">
      <c r="C24" s="29">
        <v>45695</v>
      </c>
      <c r="D24" s="21">
        <v>25800254</v>
      </c>
      <c r="E24" s="8" t="str">
        <f>IFERROR(VLOOKUP(DetteFrs[N°Tiers],Tableau5[[N°tiers]:[Fournisseur]],2,FALSE),"")</f>
        <v>AFRICA GLOBAL LOGISTICS</v>
      </c>
      <c r="F24" s="23" t="str">
        <f>VLOOKUP(DetteFrs[Fournisseur],Tableau5[[Fournisseur]:[Catégorie]],2,FALSE)</f>
        <v>FRS METIERS</v>
      </c>
      <c r="G24" s="21">
        <v>4011100001</v>
      </c>
      <c r="H24" s="25">
        <v>105000</v>
      </c>
      <c r="I24" s="25" t="str">
        <f>IFERROR(VLOOKUP(DetteFrs[N°Facture],ReglFrs[],7,FALSE),"0")</f>
        <v>0</v>
      </c>
      <c r="J24" s="25">
        <f>IFERROR(DetteFrs[[#This Row],[Net à Payer]]-DetteFrs[[#This Row],[Montant Payé]],"")</f>
        <v>105000</v>
      </c>
      <c r="K24" s="24">
        <v>45695</v>
      </c>
      <c r="L24" s="28">
        <f ca="1">IF(DetteFrs[Solde]=0,"",(TODAY()-DetteFrs[[#This Row],[Échéance]]))</f>
        <v>134</v>
      </c>
      <c r="M24" s="22" t="str">
        <f ca="1">IF(DetteFrs[Retard]="","Payé",IF(DetteFrs[Retard]&lt;=0,"Non Echue",IF(DetteFrs[Retard]&lt;=30,"Echue [1;30]",IF(DetteFrs[Retard]&lt;=60,"Echue [31;60]",IF(DetteFrs[Retard]&lt;=90,"Echue [61;90]","Echue &gt; 90")))))</f>
        <v>Echue &gt; 90</v>
      </c>
      <c r="O24" s="2" t="str">
        <f>+Tableau3[[#This Row],[Mois]]</f>
        <v>février</v>
      </c>
      <c r="P24" s="2" t="s">
        <v>175</v>
      </c>
      <c r="U24" s="1">
        <f>IFERROR(MONTH(DetteFrs[Date Saisie]),"")</f>
        <v>2</v>
      </c>
      <c r="V24" s="1" t="str">
        <f>TEXT(DetteFrs[Date Saisie],"mmmm")</f>
        <v>février</v>
      </c>
      <c r="W24" s="1" t="str">
        <f>TEXT(DetteFrs[Date Saisie],"yyyy")</f>
        <v>2025</v>
      </c>
    </row>
    <row r="25" spans="3:23" ht="16.5" x14ac:dyDescent="0.25">
      <c r="C25" s="29">
        <v>45695</v>
      </c>
      <c r="D25" s="21">
        <v>25800267</v>
      </c>
      <c r="E25" s="8" t="str">
        <f>IFERROR(VLOOKUP(DetteFrs[N°Tiers],Tableau5[[N°tiers]:[Fournisseur]],2,FALSE),"")</f>
        <v>AFRICA GLOBAL LOGISTICS</v>
      </c>
      <c r="F25" s="23" t="str">
        <f>VLOOKUP(DetteFrs[Fournisseur],Tableau5[[Fournisseur]:[Catégorie]],2,FALSE)</f>
        <v>FRS METIERS</v>
      </c>
      <c r="G25" s="21">
        <v>4011100001</v>
      </c>
      <c r="H25" s="25">
        <v>175000</v>
      </c>
      <c r="I25" s="25" t="str">
        <f>IFERROR(VLOOKUP(DetteFrs[N°Facture],ReglFrs[],7,FALSE),"0")</f>
        <v>0</v>
      </c>
      <c r="J25" s="25">
        <f>IFERROR(DetteFrs[[#This Row],[Net à Payer]]-DetteFrs[[#This Row],[Montant Payé]],"")</f>
        <v>175000</v>
      </c>
      <c r="K25" s="24">
        <v>45695</v>
      </c>
      <c r="L25" s="28">
        <f ca="1">IF(DetteFrs[Solde]=0,"",(TODAY()-DetteFrs[[#This Row],[Échéance]]))</f>
        <v>134</v>
      </c>
      <c r="M25" s="22" t="str">
        <f ca="1">IF(DetteFrs[Retard]="","Payé",IF(DetteFrs[Retard]&lt;=0,"Non Echue",IF(DetteFrs[Retard]&lt;=30,"Echue [1;30]",IF(DetteFrs[Retard]&lt;=60,"Echue [31;60]",IF(DetteFrs[Retard]&lt;=90,"Echue [61;90]","Echue &gt; 90")))))</f>
        <v>Echue &gt; 90</v>
      </c>
      <c r="O25" s="2" t="str">
        <f>+Tableau3[[#This Row],[Mois]]</f>
        <v>février</v>
      </c>
      <c r="P25" s="2" t="s">
        <v>175</v>
      </c>
      <c r="U25" s="1">
        <f>IFERROR(MONTH(DetteFrs[Date Saisie]),"")</f>
        <v>2</v>
      </c>
      <c r="V25" s="1" t="str">
        <f>TEXT(DetteFrs[Date Saisie],"mmmm")</f>
        <v>février</v>
      </c>
      <c r="W25" s="1" t="str">
        <f>TEXT(DetteFrs[Date Saisie],"yyyy")</f>
        <v>2025</v>
      </c>
    </row>
    <row r="26" spans="3:23" ht="16.5" x14ac:dyDescent="0.25">
      <c r="C26" s="29">
        <v>45695</v>
      </c>
      <c r="D26" s="21">
        <v>25800275</v>
      </c>
      <c r="E26" s="8" t="str">
        <f>IFERROR(VLOOKUP(DetteFrs[N°Tiers],Tableau5[[N°tiers]:[Fournisseur]],2,FALSE),"")</f>
        <v>AFRICA GLOBAL LOGISTICS</v>
      </c>
      <c r="F26" s="23" t="str">
        <f>VLOOKUP(DetteFrs[Fournisseur],Tableau5[[Fournisseur]:[Catégorie]],2,FALSE)</f>
        <v>FRS METIERS</v>
      </c>
      <c r="G26" s="21">
        <v>4011100001</v>
      </c>
      <c r="H26" s="25">
        <v>140000</v>
      </c>
      <c r="I26" s="25" t="str">
        <f>IFERROR(VLOOKUP(DetteFrs[N°Facture],ReglFrs[],7,FALSE),"0")</f>
        <v>0</v>
      </c>
      <c r="J26" s="25">
        <f>IFERROR(DetteFrs[[#This Row],[Net à Payer]]-DetteFrs[[#This Row],[Montant Payé]],"")</f>
        <v>140000</v>
      </c>
      <c r="K26" s="24">
        <v>45695</v>
      </c>
      <c r="L26" s="28">
        <f ca="1">IF(DetteFrs[Solde]=0,"",(TODAY()-DetteFrs[[#This Row],[Échéance]]))</f>
        <v>134</v>
      </c>
      <c r="M26" s="22" t="str">
        <f ca="1">IF(DetteFrs[Retard]="","Payé",IF(DetteFrs[Retard]&lt;=0,"Non Echue",IF(DetteFrs[Retard]&lt;=30,"Echue [1;30]",IF(DetteFrs[Retard]&lt;=60,"Echue [31;60]",IF(DetteFrs[Retard]&lt;=90,"Echue [61;90]","Echue &gt; 90")))))</f>
        <v>Echue &gt; 90</v>
      </c>
      <c r="O26" s="2" t="str">
        <f>+Tableau3[[#This Row],[Mois]]</f>
        <v>février</v>
      </c>
      <c r="P26" s="2" t="s">
        <v>175</v>
      </c>
      <c r="U26" s="1">
        <f>IFERROR(MONTH(DetteFrs[Date Saisie]),"")</f>
        <v>2</v>
      </c>
      <c r="V26" s="1" t="str">
        <f>TEXT(DetteFrs[Date Saisie],"mmmm")</f>
        <v>février</v>
      </c>
      <c r="W26" s="1" t="str">
        <f>TEXT(DetteFrs[Date Saisie],"yyyy")</f>
        <v>2025</v>
      </c>
    </row>
    <row r="27" spans="3:23" ht="16.5" x14ac:dyDescent="0.25">
      <c r="C27" s="29">
        <v>45695</v>
      </c>
      <c r="D27" s="21">
        <v>25800276</v>
      </c>
      <c r="E27" s="8" t="str">
        <f>IFERROR(VLOOKUP(DetteFrs[N°Tiers],Tableau5[[N°tiers]:[Fournisseur]],2,FALSE),"")</f>
        <v>AFRICA GLOBAL LOGISTICS</v>
      </c>
      <c r="F27" s="23" t="str">
        <f>VLOOKUP(DetteFrs[Fournisseur],Tableau5[[Fournisseur]:[Catégorie]],2,FALSE)</f>
        <v>FRS METIERS</v>
      </c>
      <c r="G27" s="21">
        <v>4011100001</v>
      </c>
      <c r="H27" s="25">
        <v>175000</v>
      </c>
      <c r="I27" s="25" t="str">
        <f>IFERROR(VLOOKUP(DetteFrs[N°Facture],ReglFrs[],7,FALSE),"0")</f>
        <v>0</v>
      </c>
      <c r="J27" s="25">
        <f>IFERROR(DetteFrs[[#This Row],[Net à Payer]]-DetteFrs[[#This Row],[Montant Payé]],"")</f>
        <v>175000</v>
      </c>
      <c r="K27" s="24">
        <v>45695</v>
      </c>
      <c r="L27" s="28">
        <f ca="1">IF(DetteFrs[Solde]=0,"",(TODAY()-DetteFrs[[#This Row],[Échéance]]))</f>
        <v>134</v>
      </c>
      <c r="M27" s="22" t="str">
        <f ca="1">IF(DetteFrs[Retard]="","Payé",IF(DetteFrs[Retard]&lt;=0,"Non Echue",IF(DetteFrs[Retard]&lt;=30,"Echue [1;30]",IF(DetteFrs[Retard]&lt;=60,"Echue [31;60]",IF(DetteFrs[Retard]&lt;=90,"Echue [61;90]","Echue &gt; 90")))))</f>
        <v>Echue &gt; 90</v>
      </c>
      <c r="O27" s="2" t="str">
        <f>+Tableau3[[#This Row],[Mois]]</f>
        <v>février</v>
      </c>
      <c r="P27" s="2" t="s">
        <v>175</v>
      </c>
      <c r="U27" s="1">
        <f>IFERROR(MONTH(DetteFrs[Date Saisie]),"")</f>
        <v>2</v>
      </c>
      <c r="V27" s="1" t="str">
        <f>TEXT(DetteFrs[Date Saisie],"mmmm")</f>
        <v>février</v>
      </c>
      <c r="W27" s="1" t="str">
        <f>TEXT(DetteFrs[Date Saisie],"yyyy")</f>
        <v>2025</v>
      </c>
    </row>
    <row r="28" spans="3:23" ht="16.5" x14ac:dyDescent="0.25">
      <c r="C28" s="29">
        <v>45695</v>
      </c>
      <c r="D28" s="21">
        <v>25800283</v>
      </c>
      <c r="E28" s="8" t="str">
        <f>IFERROR(VLOOKUP(DetteFrs[N°Tiers],Tableau5[[N°tiers]:[Fournisseur]],2,FALSE),"")</f>
        <v>AFRICA GLOBAL LOGISTICS</v>
      </c>
      <c r="F28" s="23" t="str">
        <f>VLOOKUP(DetteFrs[Fournisseur],Tableau5[[Fournisseur]:[Catégorie]],2,FALSE)</f>
        <v>FRS METIERS</v>
      </c>
      <c r="G28" s="21">
        <v>4011100001</v>
      </c>
      <c r="H28" s="25">
        <v>175000</v>
      </c>
      <c r="I28" s="25" t="str">
        <f>IFERROR(VLOOKUP(DetteFrs[N°Facture],ReglFrs[],7,FALSE),"0")</f>
        <v>0</v>
      </c>
      <c r="J28" s="25">
        <f>IFERROR(DetteFrs[[#This Row],[Net à Payer]]-DetteFrs[[#This Row],[Montant Payé]],"")</f>
        <v>175000</v>
      </c>
      <c r="K28" s="24">
        <v>45695</v>
      </c>
      <c r="L28" s="28">
        <f ca="1">IF(DetteFrs[Solde]=0,"",(TODAY()-DetteFrs[[#This Row],[Échéance]]))</f>
        <v>134</v>
      </c>
      <c r="M28" s="22" t="str">
        <f ca="1">IF(DetteFrs[Retard]="","Payé",IF(DetteFrs[Retard]&lt;=0,"Non Echue",IF(DetteFrs[Retard]&lt;=30,"Echue [1;30]",IF(DetteFrs[Retard]&lt;=60,"Echue [31;60]",IF(DetteFrs[Retard]&lt;=90,"Echue [61;90]","Echue &gt; 90")))))</f>
        <v>Echue &gt; 90</v>
      </c>
      <c r="O28" s="2" t="str">
        <f>+Tableau3[[#This Row],[Mois]]</f>
        <v>février</v>
      </c>
      <c r="P28" s="2" t="s">
        <v>175</v>
      </c>
      <c r="U28" s="1">
        <f>IFERROR(MONTH(DetteFrs[Date Saisie]),"")</f>
        <v>2</v>
      </c>
      <c r="V28" s="1" t="str">
        <f>TEXT(DetteFrs[Date Saisie],"mmmm")</f>
        <v>février</v>
      </c>
      <c r="W28" s="1" t="str">
        <f>TEXT(DetteFrs[Date Saisie],"yyyy")</f>
        <v>2025</v>
      </c>
    </row>
    <row r="29" spans="3:23" ht="16.5" x14ac:dyDescent="0.25">
      <c r="C29" s="29">
        <v>45695</v>
      </c>
      <c r="D29" s="21">
        <v>25800285</v>
      </c>
      <c r="E29" s="8" t="str">
        <f>IFERROR(VLOOKUP(DetteFrs[N°Tiers],Tableau5[[N°tiers]:[Fournisseur]],2,FALSE),"")</f>
        <v>AFRICA GLOBAL LOGISTICS</v>
      </c>
      <c r="F29" s="23" t="str">
        <f>VLOOKUP(DetteFrs[Fournisseur],Tableau5[[Fournisseur]:[Catégorie]],2,FALSE)</f>
        <v>FRS METIERS</v>
      </c>
      <c r="G29" s="21">
        <v>4011100001</v>
      </c>
      <c r="H29" s="25">
        <v>105000</v>
      </c>
      <c r="I29" s="25" t="str">
        <f>IFERROR(VLOOKUP(DetteFrs[N°Facture],ReglFrs[],7,FALSE),"0")</f>
        <v>0</v>
      </c>
      <c r="J29" s="25">
        <f>IFERROR(DetteFrs[[#This Row],[Net à Payer]]-DetteFrs[[#This Row],[Montant Payé]],"")</f>
        <v>105000</v>
      </c>
      <c r="K29" s="24">
        <v>45695</v>
      </c>
      <c r="L29" s="28">
        <f ca="1">IF(DetteFrs[Solde]=0,"",(TODAY()-DetteFrs[[#This Row],[Échéance]]))</f>
        <v>134</v>
      </c>
      <c r="M29" s="22" t="str">
        <f ca="1">IF(DetteFrs[Retard]="","Payé",IF(DetteFrs[Retard]&lt;=0,"Non Echue",IF(DetteFrs[Retard]&lt;=30,"Echue [1;30]",IF(DetteFrs[Retard]&lt;=60,"Echue [31;60]",IF(DetteFrs[Retard]&lt;=90,"Echue [61;90]","Echue &gt; 90")))))</f>
        <v>Echue &gt; 90</v>
      </c>
      <c r="O29" s="2" t="str">
        <f>+Tableau3[[#This Row],[Mois]]</f>
        <v>février</v>
      </c>
      <c r="P29" s="2" t="s">
        <v>175</v>
      </c>
      <c r="U29" s="1">
        <f>IFERROR(MONTH(DetteFrs[Date Saisie]),"")</f>
        <v>2</v>
      </c>
      <c r="V29" s="1" t="str">
        <f>TEXT(DetteFrs[Date Saisie],"mmmm")</f>
        <v>février</v>
      </c>
      <c r="W29" s="1" t="str">
        <f>TEXT(DetteFrs[Date Saisie],"yyyy")</f>
        <v>2025</v>
      </c>
    </row>
    <row r="30" spans="3:23" ht="16.5" x14ac:dyDescent="0.25">
      <c r="C30" s="29">
        <v>45695</v>
      </c>
      <c r="D30" s="21">
        <v>25800286</v>
      </c>
      <c r="E30" s="8" t="str">
        <f>IFERROR(VLOOKUP(DetteFrs[N°Tiers],Tableau5[[N°tiers]:[Fournisseur]],2,FALSE),"")</f>
        <v>AFRICA GLOBAL LOGISTICS</v>
      </c>
      <c r="F30" s="23" t="str">
        <f>VLOOKUP(DetteFrs[Fournisseur],Tableau5[[Fournisseur]:[Catégorie]],2,FALSE)</f>
        <v>FRS METIERS</v>
      </c>
      <c r="G30" s="21">
        <v>4011100001</v>
      </c>
      <c r="H30" s="25">
        <v>140000</v>
      </c>
      <c r="I30" s="25" t="str">
        <f>IFERROR(VLOOKUP(DetteFrs[N°Facture],ReglFrs[],7,FALSE),"0")</f>
        <v>0</v>
      </c>
      <c r="J30" s="25">
        <f>IFERROR(DetteFrs[[#This Row],[Net à Payer]]-DetteFrs[[#This Row],[Montant Payé]],"")</f>
        <v>140000</v>
      </c>
      <c r="K30" s="24">
        <v>45695</v>
      </c>
      <c r="L30" s="28">
        <f ca="1">IF(DetteFrs[Solde]=0,"",(TODAY()-DetteFrs[[#This Row],[Échéance]]))</f>
        <v>134</v>
      </c>
      <c r="M30" s="22" t="str">
        <f ca="1">IF(DetteFrs[Retard]="","Payé",IF(DetteFrs[Retard]&lt;=0,"Non Echue",IF(DetteFrs[Retard]&lt;=30,"Echue [1;30]",IF(DetteFrs[Retard]&lt;=60,"Echue [31;60]",IF(DetteFrs[Retard]&lt;=90,"Echue [61;90]","Echue &gt; 90")))))</f>
        <v>Echue &gt; 90</v>
      </c>
      <c r="O30" s="2" t="str">
        <f>+Tableau3[[#This Row],[Mois]]</f>
        <v>février</v>
      </c>
      <c r="P30" s="2" t="s">
        <v>175</v>
      </c>
      <c r="U30" s="1">
        <f>IFERROR(MONTH(DetteFrs[Date Saisie]),"")</f>
        <v>2</v>
      </c>
      <c r="V30" s="1" t="str">
        <f>TEXT(DetteFrs[Date Saisie],"mmmm")</f>
        <v>février</v>
      </c>
      <c r="W30" s="1" t="str">
        <f>TEXT(DetteFrs[Date Saisie],"yyyy")</f>
        <v>2025</v>
      </c>
    </row>
    <row r="31" spans="3:23" ht="16.5" x14ac:dyDescent="0.25">
      <c r="C31" s="29">
        <v>45695</v>
      </c>
      <c r="D31" s="21">
        <v>25800287</v>
      </c>
      <c r="E31" s="8" t="str">
        <f>IFERROR(VLOOKUP(DetteFrs[N°Tiers],Tableau5[[N°tiers]:[Fournisseur]],2,FALSE),"")</f>
        <v>AFRICA GLOBAL LOGISTICS</v>
      </c>
      <c r="F31" s="23" t="str">
        <f>VLOOKUP(DetteFrs[Fournisseur],Tableau5[[Fournisseur]:[Catégorie]],2,FALSE)</f>
        <v>FRS METIERS</v>
      </c>
      <c r="G31" s="21">
        <v>4011100001</v>
      </c>
      <c r="H31" s="25">
        <v>70000</v>
      </c>
      <c r="I31" s="25" t="str">
        <f>IFERROR(VLOOKUP(DetteFrs[N°Facture],ReglFrs[],7,FALSE),"0")</f>
        <v>0</v>
      </c>
      <c r="J31" s="25">
        <f>IFERROR(DetteFrs[[#This Row],[Net à Payer]]-DetteFrs[[#This Row],[Montant Payé]],"")</f>
        <v>70000</v>
      </c>
      <c r="K31" s="24">
        <v>45695</v>
      </c>
      <c r="L31" s="28">
        <f ca="1">IF(DetteFrs[Solde]=0,"",(TODAY()-DetteFrs[[#This Row],[Échéance]]))</f>
        <v>134</v>
      </c>
      <c r="M31" s="22" t="str">
        <f ca="1">IF(DetteFrs[Retard]="","Payé",IF(DetteFrs[Retard]&lt;=0,"Non Echue",IF(DetteFrs[Retard]&lt;=30,"Echue [1;30]",IF(DetteFrs[Retard]&lt;=60,"Echue [31;60]",IF(DetteFrs[Retard]&lt;=90,"Echue [61;90]","Echue &gt; 90")))))</f>
        <v>Echue &gt; 90</v>
      </c>
      <c r="O31" s="2" t="str">
        <f>+Tableau3[[#This Row],[Mois]]</f>
        <v>février</v>
      </c>
      <c r="P31" s="2" t="s">
        <v>175</v>
      </c>
      <c r="U31" s="1">
        <f>IFERROR(MONTH(DetteFrs[Date Saisie]),"")</f>
        <v>2</v>
      </c>
      <c r="V31" s="1" t="str">
        <f>TEXT(DetteFrs[Date Saisie],"mmmm")</f>
        <v>février</v>
      </c>
      <c r="W31" s="1" t="str">
        <f>TEXT(DetteFrs[Date Saisie],"yyyy")</f>
        <v>2025</v>
      </c>
    </row>
    <row r="32" spans="3:23" ht="16.5" x14ac:dyDescent="0.25">
      <c r="C32" s="29">
        <v>45734</v>
      </c>
      <c r="D32" s="21">
        <v>25801582</v>
      </c>
      <c r="E32" s="8" t="str">
        <f>IFERROR(VLOOKUP(DetteFrs[N°Tiers],Tableau5[[N°tiers]:[Fournisseur]],2,FALSE),"")</f>
        <v>AFRICA GLOBAL LOGISTICS</v>
      </c>
      <c r="F32" s="23" t="str">
        <f>VLOOKUP(DetteFrs[Fournisseur],Tableau5[[Fournisseur]:[Catégorie]],2,FALSE)</f>
        <v>FRS METIERS</v>
      </c>
      <c r="G32" s="21">
        <v>4011100001</v>
      </c>
      <c r="H32" s="25">
        <v>350000</v>
      </c>
      <c r="I32" s="25" t="str">
        <f>IFERROR(VLOOKUP(DetteFrs[N°Facture],ReglFrs[],7,FALSE),"0")</f>
        <v>0</v>
      </c>
      <c r="J32" s="25">
        <f>IFERROR(DetteFrs[[#This Row],[Net à Payer]]-DetteFrs[[#This Row],[Montant Payé]],"")</f>
        <v>350000</v>
      </c>
      <c r="K32" s="24">
        <v>45735</v>
      </c>
      <c r="L32" s="28">
        <f ca="1">IF(DetteFrs[Solde]=0,"",(TODAY()-DetteFrs[[#This Row],[Échéance]]))</f>
        <v>94</v>
      </c>
      <c r="M32" s="22" t="str">
        <f ca="1">IF(DetteFrs[Retard]="","Payé",IF(DetteFrs[Retard]&lt;=0,"Non Echue",IF(DetteFrs[Retard]&lt;=30,"Echue [1;30]",IF(DetteFrs[Retard]&lt;=60,"Echue [31;60]",IF(DetteFrs[Retard]&lt;=90,"Echue [61;90]","Echue &gt; 90")))))</f>
        <v>Echue &gt; 90</v>
      </c>
      <c r="O32" s="2" t="str">
        <f>+Tableau3[[#This Row],[Mois]]</f>
        <v>mars</v>
      </c>
      <c r="P32" s="2" t="s">
        <v>175</v>
      </c>
      <c r="U32" s="1">
        <f>IFERROR(MONTH(DetteFrs[Date Saisie]),"")</f>
        <v>3</v>
      </c>
      <c r="V32" s="1" t="str">
        <f>TEXT(DetteFrs[Date Saisie],"mmmm")</f>
        <v>mars</v>
      </c>
      <c r="W32" s="1" t="str">
        <f>TEXT(DetteFrs[Date Saisie],"yyyy")</f>
        <v>2025</v>
      </c>
    </row>
    <row r="33" spans="3:23" ht="16.5" x14ac:dyDescent="0.25">
      <c r="C33" s="29">
        <v>45736</v>
      </c>
      <c r="D33" s="21">
        <v>25362453</v>
      </c>
      <c r="E33" s="8" t="str">
        <f>IFERROR(VLOOKUP(DetteFrs[N°Tiers],Tableau5[[N°tiers]:[Fournisseur]],2,FALSE),"")</f>
        <v>AFRICA GLOBAL LOGISTICS</v>
      </c>
      <c r="F33" s="23" t="str">
        <f>VLOOKUP(DetteFrs[Fournisseur],Tableau5[[Fournisseur]:[Catégorie]],2,FALSE)</f>
        <v>FRS METIERS</v>
      </c>
      <c r="G33" s="21">
        <v>4011100001</v>
      </c>
      <c r="H33" s="25">
        <v>1272078</v>
      </c>
      <c r="I33" s="25" t="str">
        <f>IFERROR(VLOOKUP(DetteFrs[N°Facture],ReglFrs[],7,FALSE),"0")</f>
        <v>0</v>
      </c>
      <c r="J33" s="25">
        <f>IFERROR(DetteFrs[[#This Row],[Net à Payer]]-DetteFrs[[#This Row],[Montant Payé]],"")</f>
        <v>1272078</v>
      </c>
      <c r="K33" s="24">
        <v>45746</v>
      </c>
      <c r="L33" s="28">
        <f ca="1">IF(DetteFrs[Solde]=0,"",(TODAY()-DetteFrs[[#This Row],[Échéance]]))</f>
        <v>83</v>
      </c>
      <c r="M33" s="22" t="str">
        <f ca="1">IF(DetteFrs[Retard]="","Payé",IF(DetteFrs[Retard]&lt;=0,"Non Echue",IF(DetteFrs[Retard]&lt;=30,"Echue [1;30]",IF(DetteFrs[Retard]&lt;=60,"Echue [31;60]",IF(DetteFrs[Retard]&lt;=90,"Echue [61;90]","Echue &gt; 90")))))</f>
        <v>Echue [61;90]</v>
      </c>
      <c r="O33" s="2" t="str">
        <f>+Tableau3[[#This Row],[Mois]]</f>
        <v>mars</v>
      </c>
      <c r="P33" s="2" t="s">
        <v>175</v>
      </c>
      <c r="U33" s="1">
        <f>IFERROR(MONTH(DetteFrs[Date Saisie]),"")</f>
        <v>3</v>
      </c>
      <c r="V33" s="1" t="str">
        <f>TEXT(DetteFrs[Date Saisie],"mmmm")</f>
        <v>mars</v>
      </c>
      <c r="W33" s="1" t="str">
        <f>TEXT(DetteFrs[Date Saisie],"yyyy")</f>
        <v>2025</v>
      </c>
    </row>
    <row r="34" spans="3:23" ht="16.5" x14ac:dyDescent="0.25">
      <c r="C34" s="29">
        <v>45755</v>
      </c>
      <c r="D34" s="21">
        <v>25303979</v>
      </c>
      <c r="E34" s="8" t="str">
        <f>IFERROR(VLOOKUP(DetteFrs[N°Tiers],Tableau5[[N°tiers]:[Fournisseur]],2,FALSE),"")</f>
        <v>AFRICA GLOBAL LOGISTICS</v>
      </c>
      <c r="F34" s="23" t="str">
        <f>VLOOKUP(DetteFrs[Fournisseur],Tableau5[[Fournisseur]:[Catégorie]],2,FALSE)</f>
        <v>FRS METIERS</v>
      </c>
      <c r="G34" s="21">
        <v>4011100001</v>
      </c>
      <c r="H34" s="25">
        <v>855500</v>
      </c>
      <c r="I34" s="25" t="str">
        <f>IFERROR(VLOOKUP(DetteFrs[N°Facture],ReglFrs[],7,FALSE),"0")</f>
        <v>0</v>
      </c>
      <c r="J34" s="25">
        <f>IFERROR(DetteFrs[[#This Row],[Net à Payer]]-DetteFrs[[#This Row],[Montant Payé]],"")</f>
        <v>855500</v>
      </c>
      <c r="K34" s="24">
        <v>45755</v>
      </c>
      <c r="L34" s="28">
        <f ca="1">IF(DetteFrs[Solde]=0,"",(TODAY()-DetteFrs[[#This Row],[Échéance]]))</f>
        <v>74</v>
      </c>
      <c r="M34" s="22" t="str">
        <f ca="1">IF(DetteFrs[Retard]="","Payé",IF(DetteFrs[Retard]&lt;=0,"Non Echue",IF(DetteFrs[Retard]&lt;=30,"Echue [1;30]",IF(DetteFrs[Retard]&lt;=60,"Echue [31;60]",IF(DetteFrs[Retard]&lt;=90,"Echue [61;90]","Echue &gt; 90")))))</f>
        <v>Echue [61;90]</v>
      </c>
      <c r="O34" s="2" t="str">
        <f>+Tableau3[[#This Row],[Mois]]</f>
        <v>avril</v>
      </c>
      <c r="P34" s="2" t="s">
        <v>175</v>
      </c>
      <c r="U34" s="1">
        <f>IFERROR(MONTH(DetteFrs[Date Saisie]),"")</f>
        <v>4</v>
      </c>
      <c r="V34" s="1" t="str">
        <f>TEXT(DetteFrs[Date Saisie],"mmmm")</f>
        <v>avril</v>
      </c>
      <c r="W34" s="1" t="str">
        <f>TEXT(DetteFrs[Date Saisie],"yyyy")</f>
        <v>2025</v>
      </c>
    </row>
    <row r="35" spans="3:23" ht="16.5" x14ac:dyDescent="0.25">
      <c r="C35" s="29">
        <v>45756</v>
      </c>
      <c r="D35" s="21">
        <v>25363050</v>
      </c>
      <c r="E35" s="8" t="str">
        <f>IFERROR(VLOOKUP(DetteFrs[N°Tiers],Tableau5[[N°tiers]:[Fournisseur]],2,FALSE),"")</f>
        <v>AFRICA GLOBAL LOGISTICS</v>
      </c>
      <c r="F35" s="23" t="str">
        <f>VLOOKUP(DetteFrs[Fournisseur],Tableau5[[Fournisseur]:[Catégorie]],2,FALSE)</f>
        <v>FRS METIERS</v>
      </c>
      <c r="G35" s="21">
        <v>4011100001</v>
      </c>
      <c r="H35" s="25">
        <v>200000</v>
      </c>
      <c r="I35" s="25" t="str">
        <f>IFERROR(VLOOKUP(DetteFrs[N°Facture],ReglFrs[],7,FALSE),"0")</f>
        <v>0</v>
      </c>
      <c r="J35" s="25">
        <f>IFERROR(DetteFrs[[#This Row],[Net à Payer]]-DetteFrs[[#This Row],[Montant Payé]],"")</f>
        <v>200000</v>
      </c>
      <c r="K35" s="24">
        <v>45756</v>
      </c>
      <c r="L35" s="28">
        <f ca="1">IF(DetteFrs[Solde]=0,"",(TODAY()-DetteFrs[[#This Row],[Échéance]]))</f>
        <v>73</v>
      </c>
      <c r="M35" s="22" t="str">
        <f ca="1">IF(DetteFrs[Retard]="","Payé",IF(DetteFrs[Retard]&lt;=0,"Non Echue",IF(DetteFrs[Retard]&lt;=30,"Echue [1;30]",IF(DetteFrs[Retard]&lt;=60,"Echue [31;60]",IF(DetteFrs[Retard]&lt;=90,"Echue [61;90]","Echue &gt; 90")))))</f>
        <v>Echue [61;90]</v>
      </c>
      <c r="O35" s="2" t="str">
        <f>+Tableau3[[#This Row],[Mois]]</f>
        <v>avril</v>
      </c>
      <c r="P35" s="2" t="s">
        <v>175</v>
      </c>
      <c r="U35" s="1">
        <f>IFERROR(MONTH(DetteFrs[Date Saisie]),"")</f>
        <v>4</v>
      </c>
      <c r="V35" s="1" t="str">
        <f>TEXT(DetteFrs[Date Saisie],"mmmm")</f>
        <v>avril</v>
      </c>
      <c r="W35" s="1" t="str">
        <f>TEXT(DetteFrs[Date Saisie],"yyyy")</f>
        <v>2025</v>
      </c>
    </row>
    <row r="36" spans="3:23" ht="16.5" x14ac:dyDescent="0.25">
      <c r="C36" s="29">
        <v>45757</v>
      </c>
      <c r="D36" s="21">
        <v>25802044</v>
      </c>
      <c r="E36" s="8" t="str">
        <f>IFERROR(VLOOKUP(DetteFrs[N°Tiers],Tableau5[[N°tiers]:[Fournisseur]],2,FALSE),"")</f>
        <v>AFRICA GLOBAL LOGISTICS</v>
      </c>
      <c r="F36" s="23" t="str">
        <f>VLOOKUP(DetteFrs[Fournisseur],Tableau5[[Fournisseur]:[Catégorie]],2,FALSE)</f>
        <v>FRS METIERS</v>
      </c>
      <c r="G36" s="21">
        <v>4011100001</v>
      </c>
      <c r="H36" s="25">
        <v>280000</v>
      </c>
      <c r="I36" s="25" t="str">
        <f>IFERROR(VLOOKUP(DetteFrs[N°Facture],ReglFrs[],7,FALSE),"0")</f>
        <v>0</v>
      </c>
      <c r="J36" s="25">
        <f>IFERROR(DetteFrs[[#This Row],[Net à Payer]]-DetteFrs[[#This Row],[Montant Payé]],"")</f>
        <v>280000</v>
      </c>
      <c r="K36" s="24">
        <v>45761</v>
      </c>
      <c r="L36" s="28">
        <f ca="1">IF(DetteFrs[Solde]=0,"",(TODAY()-DetteFrs[[#This Row],[Échéance]]))</f>
        <v>68</v>
      </c>
      <c r="M36" s="22" t="str">
        <f ca="1">IF(DetteFrs[Retard]="","Payé",IF(DetteFrs[Retard]&lt;=0,"Non Echue",IF(DetteFrs[Retard]&lt;=30,"Echue [1;30]",IF(DetteFrs[Retard]&lt;=60,"Echue [31;60]",IF(DetteFrs[Retard]&lt;=90,"Echue [61;90]","Echue &gt; 90")))))</f>
        <v>Echue [61;90]</v>
      </c>
      <c r="O36" s="2" t="str">
        <f>+Tableau3[[#This Row],[Mois]]</f>
        <v>avril</v>
      </c>
      <c r="P36" s="2" t="s">
        <v>175</v>
      </c>
      <c r="U36" s="1">
        <f>IFERROR(MONTH(DetteFrs[Date Saisie]),"")</f>
        <v>4</v>
      </c>
      <c r="V36" s="1" t="str">
        <f>TEXT(DetteFrs[Date Saisie],"mmmm")</f>
        <v>avril</v>
      </c>
      <c r="W36" s="1" t="str">
        <f>TEXT(DetteFrs[Date Saisie],"yyyy")</f>
        <v>2025</v>
      </c>
    </row>
    <row r="37" spans="3:23" ht="16.5" x14ac:dyDescent="0.25">
      <c r="C37" s="29">
        <v>45758</v>
      </c>
      <c r="D37" s="21">
        <v>25802060</v>
      </c>
      <c r="E37" s="8" t="str">
        <f>IFERROR(VLOOKUP(DetteFrs[N°Tiers],Tableau5[[N°tiers]:[Fournisseur]],2,FALSE),"")</f>
        <v>AFRICA GLOBAL LOGISTICS</v>
      </c>
      <c r="F37" s="23" t="str">
        <f>VLOOKUP(DetteFrs[Fournisseur],Tableau5[[Fournisseur]:[Catégorie]],2,FALSE)</f>
        <v>FRS METIERS</v>
      </c>
      <c r="G37" s="21">
        <v>4011100001</v>
      </c>
      <c r="H37" s="25">
        <v>175000</v>
      </c>
      <c r="I37" s="25" t="str">
        <f>IFERROR(VLOOKUP(DetteFrs[N°Facture],ReglFrs[],7,FALSE),"0")</f>
        <v>0</v>
      </c>
      <c r="J37" s="25">
        <f>IFERROR(DetteFrs[[#This Row],[Net à Payer]]-DetteFrs[[#This Row],[Montant Payé]],"")</f>
        <v>175000</v>
      </c>
      <c r="K37" s="24">
        <v>45761</v>
      </c>
      <c r="L37" s="28">
        <f ca="1">IF(DetteFrs[Solde]=0,"",(TODAY()-DetteFrs[[#This Row],[Échéance]]))</f>
        <v>68</v>
      </c>
      <c r="M37" s="22" t="str">
        <f ca="1">IF(DetteFrs[Retard]="","Payé",IF(DetteFrs[Retard]&lt;=0,"Non Echue",IF(DetteFrs[Retard]&lt;=30,"Echue [1;30]",IF(DetteFrs[Retard]&lt;=60,"Echue [31;60]",IF(DetteFrs[Retard]&lt;=90,"Echue [61;90]","Echue &gt; 90")))))</f>
        <v>Echue [61;90]</v>
      </c>
      <c r="O37" s="2" t="str">
        <f>+Tableau3[[#This Row],[Mois]]</f>
        <v>avril</v>
      </c>
      <c r="P37" s="2" t="s">
        <v>175</v>
      </c>
      <c r="U37" s="1">
        <f>IFERROR(MONTH(DetteFrs[Date Saisie]),"")</f>
        <v>4</v>
      </c>
      <c r="V37" s="1" t="str">
        <f>TEXT(DetteFrs[Date Saisie],"mmmm")</f>
        <v>avril</v>
      </c>
      <c r="W37" s="1" t="str">
        <f>TEXT(DetteFrs[Date Saisie],"yyyy")</f>
        <v>2025</v>
      </c>
    </row>
    <row r="38" spans="3:23" ht="16.5" x14ac:dyDescent="0.25">
      <c r="C38" s="29">
        <v>45778</v>
      </c>
      <c r="D38" s="21">
        <v>25304793</v>
      </c>
      <c r="E38" s="8" t="str">
        <f>IFERROR(VLOOKUP(DetteFrs[N°Tiers],Tableau5[[N°tiers]:[Fournisseur]],2,FALSE),"")</f>
        <v>AFRICA GLOBAL LOGISTICS</v>
      </c>
      <c r="F38" s="23" t="str">
        <f>VLOOKUP(DetteFrs[Fournisseur],Tableau5[[Fournisseur]:[Catégorie]],2,FALSE)</f>
        <v>FRS METIERS</v>
      </c>
      <c r="G38" s="21">
        <v>4011100001</v>
      </c>
      <c r="H38" s="25">
        <v>495600</v>
      </c>
      <c r="I38" s="25" t="str">
        <f>IFERROR(VLOOKUP(DetteFrs[N°Facture],ReglFrs[],7,FALSE),"0")</f>
        <v>0</v>
      </c>
      <c r="J38" s="25">
        <f>IFERROR(DetteFrs[[#This Row],[Net à Payer]]-DetteFrs[[#This Row],[Montant Payé]],"")</f>
        <v>495600</v>
      </c>
      <c r="K38" s="24">
        <v>45771</v>
      </c>
      <c r="L38" s="28">
        <f ca="1">IF(DetteFrs[Solde]=0,"",(TODAY()-DetteFrs[[#This Row],[Échéance]]))</f>
        <v>58</v>
      </c>
      <c r="M38" s="22" t="str">
        <f ca="1">IF(DetteFrs[Retard]="","Payé",IF(DetteFrs[Retard]&lt;=0,"Non Echue",IF(DetteFrs[Retard]&lt;=30,"Echue [1;30]",IF(DetteFrs[Retard]&lt;=60,"Echue [31;60]",IF(DetteFrs[Retard]&lt;=90,"Echue [61;90]","Echue &gt; 90")))))</f>
        <v>Echue [31;60]</v>
      </c>
      <c r="O38" s="2" t="str">
        <f>+Tableau3[[#This Row],[Mois]]</f>
        <v>mai</v>
      </c>
      <c r="P38" s="2" t="s">
        <v>175</v>
      </c>
      <c r="U38" s="1">
        <f>IFERROR(MONTH(DetteFrs[Date Saisie]),"")</f>
        <v>5</v>
      </c>
      <c r="V38" s="1" t="str">
        <f>TEXT(DetteFrs[Date Saisie],"mmmm")</f>
        <v>mai</v>
      </c>
      <c r="W38" s="1" t="str">
        <f>TEXT(DetteFrs[Date Saisie],"yyyy")</f>
        <v>2025</v>
      </c>
    </row>
    <row r="39" spans="3:23" ht="16.5" x14ac:dyDescent="0.25">
      <c r="C39" s="29">
        <v>45785</v>
      </c>
      <c r="D39" s="21">
        <v>25305506</v>
      </c>
      <c r="E39" s="8" t="str">
        <f>IFERROR(VLOOKUP(DetteFrs[N°Tiers],Tableau5[[N°tiers]:[Fournisseur]],2,FALSE),"")</f>
        <v>AFRICA GLOBAL LOGISTICS</v>
      </c>
      <c r="F39" s="23" t="str">
        <f>VLOOKUP(DetteFrs[Fournisseur],Tableau5[[Fournisseur]:[Catégorie]],2,FALSE)</f>
        <v>FRS METIERS</v>
      </c>
      <c r="G39" s="21">
        <v>4011100001</v>
      </c>
      <c r="H39" s="25">
        <v>1211520</v>
      </c>
      <c r="I39" s="25" t="str">
        <f>IFERROR(VLOOKUP(DetteFrs[N°Facture],ReglFrs[],7,FALSE),"0")</f>
        <v>0</v>
      </c>
      <c r="J39" s="25">
        <f>IFERROR(DetteFrs[[#This Row],[Net à Payer]]-DetteFrs[[#This Row],[Montant Payé]],"")</f>
        <v>1211520</v>
      </c>
      <c r="K39" s="24">
        <v>45785</v>
      </c>
      <c r="L39" s="28">
        <f ca="1">IF(DetteFrs[Solde]=0,"",(TODAY()-DetteFrs[[#This Row],[Échéance]]))</f>
        <v>44</v>
      </c>
      <c r="M39" s="22" t="str">
        <f ca="1">IF(DetteFrs[Retard]="","Payé",IF(DetteFrs[Retard]&lt;=0,"Non Echue",IF(DetteFrs[Retard]&lt;=30,"Echue [1;30]",IF(DetteFrs[Retard]&lt;=60,"Echue [31;60]",IF(DetteFrs[Retard]&lt;=90,"Echue [61;90]","Echue &gt; 90")))))</f>
        <v>Echue [31;60]</v>
      </c>
      <c r="O39" s="2" t="str">
        <f>+Tableau3[[#This Row],[Mois]]</f>
        <v>mai</v>
      </c>
      <c r="P39" s="2" t="s">
        <v>175</v>
      </c>
      <c r="U39" s="1">
        <f>IFERROR(MONTH(DetteFrs[Date Saisie]),"")</f>
        <v>5</v>
      </c>
      <c r="V39" s="1" t="str">
        <f>TEXT(DetteFrs[Date Saisie],"mmmm")</f>
        <v>mai</v>
      </c>
      <c r="W39" s="1" t="str">
        <f>TEXT(DetteFrs[Date Saisie],"yyyy")</f>
        <v>2025</v>
      </c>
    </row>
    <row r="40" spans="3:23" ht="16.5" x14ac:dyDescent="0.25">
      <c r="C40" s="29">
        <v>45687</v>
      </c>
      <c r="D40" s="21">
        <v>7613844474</v>
      </c>
      <c r="E40" s="8" t="str">
        <f>IFERROR(VLOOKUP(DetteFrs[N°Tiers],Tableau5[[N°tiers]:[Fournisseur]],2,FALSE),"")</f>
        <v>MAERSK COTE D IVOIRE</v>
      </c>
      <c r="F40" s="23" t="str">
        <f>VLOOKUP(DetteFrs[Fournisseur],Tableau5[[Fournisseur]:[Catégorie]],2,FALSE)</f>
        <v>FRS METIERS</v>
      </c>
      <c r="G40" s="21">
        <v>4011100006</v>
      </c>
      <c r="H40" s="25">
        <v>177000</v>
      </c>
      <c r="I40" s="25" t="str">
        <f>IFERROR(VLOOKUP(DetteFrs[N°Facture],ReglFrs[],7,FALSE),"0")</f>
        <v>0</v>
      </c>
      <c r="J40" s="25">
        <f>IFERROR(DetteFrs[[#This Row],[Net à Payer]]-DetteFrs[[#This Row],[Montant Payé]],"")</f>
        <v>177000</v>
      </c>
      <c r="K40" s="24">
        <v>45687</v>
      </c>
      <c r="L40" s="28">
        <f ca="1">IF(DetteFrs[Solde]=0,"",(TODAY()-DetteFrs[[#This Row],[Échéance]]))</f>
        <v>142</v>
      </c>
      <c r="M40" s="22" t="str">
        <f ca="1">IF(DetteFrs[Retard]="","Payé",IF(DetteFrs[Retard]&lt;=0,"Non Echue",IF(DetteFrs[Retard]&lt;=30,"Echue [1;30]",IF(DetteFrs[Retard]&lt;=60,"Echue [31;60]",IF(DetteFrs[Retard]&lt;=90,"Echue [61;90]","Echue &gt; 90")))))</f>
        <v>Echue &gt; 90</v>
      </c>
      <c r="O40" s="2" t="str">
        <f>+Tableau3[[#This Row],[Mois]]</f>
        <v>janvier</v>
      </c>
      <c r="P40" s="2" t="s">
        <v>175</v>
      </c>
      <c r="U40" s="1">
        <f>IFERROR(MONTH(DetteFrs[Date Saisie]),"")</f>
        <v>1</v>
      </c>
      <c r="V40" s="1" t="str">
        <f>TEXT(DetteFrs[Date Saisie],"mmmm")</f>
        <v>janvier</v>
      </c>
      <c r="W40" s="1" t="str">
        <f>TEXT(DetteFrs[Date Saisie],"yyyy")</f>
        <v>2025</v>
      </c>
    </row>
    <row r="41" spans="3:23" ht="16.5" x14ac:dyDescent="0.25">
      <c r="C41" s="29">
        <v>45687</v>
      </c>
      <c r="D41" s="21">
        <v>7613846398</v>
      </c>
      <c r="E41" s="8" t="str">
        <f>IFERROR(VLOOKUP(DetteFrs[N°Tiers],Tableau5[[N°tiers]:[Fournisseur]],2,FALSE),"")</f>
        <v>MAERSK COTE D IVOIRE</v>
      </c>
      <c r="F41" s="23" t="str">
        <f>VLOOKUP(DetteFrs[Fournisseur],Tableau5[[Fournisseur]:[Catégorie]],2,FALSE)</f>
        <v>FRS METIERS</v>
      </c>
      <c r="G41" s="21">
        <v>4011100006</v>
      </c>
      <c r="H41" s="25">
        <v>206500</v>
      </c>
      <c r="I41" s="25" t="str">
        <f>IFERROR(VLOOKUP(DetteFrs[N°Facture],ReglFrs[],7,FALSE),"0")</f>
        <v>0</v>
      </c>
      <c r="J41" s="25">
        <f>IFERROR(DetteFrs[[#This Row],[Net à Payer]]-DetteFrs[[#This Row],[Montant Payé]],"")</f>
        <v>206500</v>
      </c>
      <c r="K41" s="24">
        <v>45687</v>
      </c>
      <c r="L41" s="28">
        <f ca="1">IF(DetteFrs[Solde]=0,"",(TODAY()-DetteFrs[[#This Row],[Échéance]]))</f>
        <v>142</v>
      </c>
      <c r="M41" s="22" t="str">
        <f ca="1">IF(DetteFrs[Retard]="","Payé",IF(DetteFrs[Retard]&lt;=0,"Non Echue",IF(DetteFrs[Retard]&lt;=30,"Echue [1;30]",IF(DetteFrs[Retard]&lt;=60,"Echue [31;60]",IF(DetteFrs[Retard]&lt;=90,"Echue [61;90]","Echue &gt; 90")))))</f>
        <v>Echue &gt; 90</v>
      </c>
      <c r="O41" s="2" t="str">
        <f>+Tableau3[[#This Row],[Mois]]</f>
        <v>janvier</v>
      </c>
      <c r="P41" s="2" t="s">
        <v>175</v>
      </c>
      <c r="U41" s="1">
        <f>IFERROR(MONTH(DetteFrs[Date Saisie]),"")</f>
        <v>1</v>
      </c>
      <c r="V41" s="1" t="str">
        <f>TEXT(DetteFrs[Date Saisie],"mmmm")</f>
        <v>janvier</v>
      </c>
      <c r="W41" s="1" t="str">
        <f>TEXT(DetteFrs[Date Saisie],"yyyy")</f>
        <v>2025</v>
      </c>
    </row>
    <row r="42" spans="3:23" ht="16.5" x14ac:dyDescent="0.25">
      <c r="C42" s="29">
        <v>45687</v>
      </c>
      <c r="D42" s="21">
        <v>7613846689</v>
      </c>
      <c r="E42" s="8" t="str">
        <f>IFERROR(VLOOKUP(DetteFrs[N°Tiers],Tableau5[[N°tiers]:[Fournisseur]],2,FALSE),"")</f>
        <v>MAERSK COTE D IVOIRE</v>
      </c>
      <c r="F42" s="23" t="str">
        <f>VLOOKUP(DetteFrs[Fournisseur],Tableau5[[Fournisseur]:[Catégorie]],2,FALSE)</f>
        <v>FRS METIERS</v>
      </c>
      <c r="G42" s="21">
        <v>4011100006</v>
      </c>
      <c r="H42" s="25">
        <v>177000</v>
      </c>
      <c r="I42" s="25" t="str">
        <f>IFERROR(VLOOKUP(DetteFrs[N°Facture],ReglFrs[],7,FALSE),"0")</f>
        <v>0</v>
      </c>
      <c r="J42" s="25">
        <f>IFERROR(DetteFrs[[#This Row],[Net à Payer]]-DetteFrs[[#This Row],[Montant Payé]],"")</f>
        <v>177000</v>
      </c>
      <c r="K42" s="24">
        <v>45687</v>
      </c>
      <c r="L42" s="28">
        <f ca="1">IF(DetteFrs[Solde]=0,"",(TODAY()-DetteFrs[[#This Row],[Échéance]]))</f>
        <v>142</v>
      </c>
      <c r="M42" s="22" t="str">
        <f ca="1">IF(DetteFrs[Retard]="","Payé",IF(DetteFrs[Retard]&lt;=0,"Non Echue",IF(DetteFrs[Retard]&lt;=30,"Echue [1;30]",IF(DetteFrs[Retard]&lt;=60,"Echue [31;60]",IF(DetteFrs[Retard]&lt;=90,"Echue [61;90]","Echue &gt; 90")))))</f>
        <v>Echue &gt; 90</v>
      </c>
      <c r="O42" s="2" t="str">
        <f>+Tableau3[[#This Row],[Mois]]</f>
        <v>janvier</v>
      </c>
      <c r="P42" s="2" t="s">
        <v>175</v>
      </c>
      <c r="U42" s="1">
        <f>IFERROR(MONTH(DetteFrs[Date Saisie]),"")</f>
        <v>1</v>
      </c>
      <c r="V42" s="1" t="str">
        <f>TEXT(DetteFrs[Date Saisie],"mmmm")</f>
        <v>janvier</v>
      </c>
      <c r="W42" s="1" t="str">
        <f>TEXT(DetteFrs[Date Saisie],"yyyy")</f>
        <v>2025</v>
      </c>
    </row>
    <row r="43" spans="3:23" ht="16.5" x14ac:dyDescent="0.25">
      <c r="C43" s="29">
        <v>45687</v>
      </c>
      <c r="D43" s="21">
        <v>200010361938</v>
      </c>
      <c r="E43" s="8" t="str">
        <f>IFERROR(VLOOKUP(DetteFrs[N°Tiers],Tableau5[[N°tiers]:[Fournisseur]],2,FALSE),"")</f>
        <v>MAERSK COTE D IVOIRE</v>
      </c>
      <c r="F43" s="23" t="str">
        <f>VLOOKUP(DetteFrs[Fournisseur],Tableau5[[Fournisseur]:[Catégorie]],2,FALSE)</f>
        <v>FRS METIERS</v>
      </c>
      <c r="G43" s="21">
        <v>4011100006</v>
      </c>
      <c r="H43" s="25">
        <v>1003000</v>
      </c>
      <c r="I43" s="25" t="str">
        <f>IFERROR(VLOOKUP(DetteFrs[N°Facture],ReglFrs[],7,FALSE),"0")</f>
        <v>0</v>
      </c>
      <c r="J43" s="25">
        <f>IFERROR(DetteFrs[[#This Row],[Net à Payer]]-DetteFrs[[#This Row],[Montant Payé]],"")</f>
        <v>1003000</v>
      </c>
      <c r="K43" s="24">
        <v>45687</v>
      </c>
      <c r="L43" s="28">
        <f ca="1">IF(DetteFrs[Solde]=0,"",(TODAY()-DetteFrs[[#This Row],[Échéance]]))</f>
        <v>142</v>
      </c>
      <c r="M43" s="22" t="str">
        <f ca="1">IF(DetteFrs[Retard]="","Payé",IF(DetteFrs[Retard]&lt;=0,"Non Echue",IF(DetteFrs[Retard]&lt;=30,"Echue [1;30]",IF(DetteFrs[Retard]&lt;=60,"Echue [31;60]",IF(DetteFrs[Retard]&lt;=90,"Echue [61;90]","Echue &gt; 90")))))</f>
        <v>Echue &gt; 90</v>
      </c>
      <c r="O43" s="2" t="str">
        <f>+Tableau3[[#This Row],[Mois]]</f>
        <v>janvier</v>
      </c>
      <c r="P43" s="2" t="s">
        <v>175</v>
      </c>
      <c r="U43" s="1">
        <f>IFERROR(MONTH(DetteFrs[Date Saisie]),"")</f>
        <v>1</v>
      </c>
      <c r="V43" s="1" t="str">
        <f>TEXT(DetteFrs[Date Saisie],"mmmm")</f>
        <v>janvier</v>
      </c>
      <c r="W43" s="1" t="str">
        <f>TEXT(DetteFrs[Date Saisie],"yyyy")</f>
        <v>2025</v>
      </c>
    </row>
    <row r="44" spans="3:23" ht="16.5" x14ac:dyDescent="0.25">
      <c r="C44" s="29">
        <v>45687</v>
      </c>
      <c r="D44" s="21">
        <v>246660281</v>
      </c>
      <c r="E44" s="8" t="str">
        <f>IFERROR(VLOOKUP(DetteFrs[N°Tiers],Tableau5[[N°tiers]:[Fournisseur]],2,FALSE),"")</f>
        <v>MAERSK COTE D IVOIRE</v>
      </c>
      <c r="F44" s="23" t="str">
        <f>VLOOKUP(DetteFrs[Fournisseur],Tableau5[[Fournisseur]:[Catégorie]],2,FALSE)</f>
        <v>FRS METIERS</v>
      </c>
      <c r="G44" s="21">
        <v>4011100006</v>
      </c>
      <c r="H44" s="25">
        <v>911700</v>
      </c>
      <c r="I44" s="25" t="str">
        <f>IFERROR(VLOOKUP(DetteFrs[N°Facture],ReglFrs[],7,FALSE),"0")</f>
        <v>0</v>
      </c>
      <c r="J44" s="25">
        <f>IFERROR(DetteFrs[[#This Row],[Net à Payer]]-DetteFrs[[#This Row],[Montant Payé]],"")</f>
        <v>911700</v>
      </c>
      <c r="K44" s="24">
        <v>45687</v>
      </c>
      <c r="L44" s="28">
        <f ca="1">IF(DetteFrs[Solde]=0,"",(TODAY()-DetteFrs[[#This Row],[Échéance]]))</f>
        <v>142</v>
      </c>
      <c r="M44" s="22" t="str">
        <f ca="1">IF(DetteFrs[Retard]="","Payé",IF(DetteFrs[Retard]&lt;=0,"Non Echue",IF(DetteFrs[Retard]&lt;=30,"Echue [1;30]",IF(DetteFrs[Retard]&lt;=60,"Echue [31;60]",IF(DetteFrs[Retard]&lt;=90,"Echue [61;90]","Echue &gt; 90")))))</f>
        <v>Echue &gt; 90</v>
      </c>
      <c r="O44" s="2" t="str">
        <f>+Tableau3[[#This Row],[Mois]]</f>
        <v>janvier</v>
      </c>
      <c r="P44" s="2" t="s">
        <v>175</v>
      </c>
      <c r="U44" s="1">
        <f>IFERROR(MONTH(DetteFrs[Date Saisie]),"")</f>
        <v>1</v>
      </c>
      <c r="V44" s="1" t="str">
        <f>TEXT(DetteFrs[Date Saisie],"mmmm")</f>
        <v>janvier</v>
      </c>
      <c r="W44" s="1" t="str">
        <f>TEXT(DetteFrs[Date Saisie],"yyyy")</f>
        <v>2025</v>
      </c>
    </row>
    <row r="45" spans="3:23" ht="16.5" x14ac:dyDescent="0.25">
      <c r="C45" s="29">
        <v>45687</v>
      </c>
      <c r="D45" s="21">
        <v>200010361938</v>
      </c>
      <c r="E45" s="8" t="str">
        <f>IFERROR(VLOOKUP(DetteFrs[N°Tiers],Tableau5[[N°tiers]:[Fournisseur]],2,FALSE),"")</f>
        <v>MAERSK COTE D IVOIRE</v>
      </c>
      <c r="F45" s="23" t="str">
        <f>VLOOKUP(DetteFrs[Fournisseur],Tableau5[[Fournisseur]:[Catégorie]],2,FALSE)</f>
        <v>FRS METIERS</v>
      </c>
      <c r="G45" s="21">
        <v>4011100006</v>
      </c>
      <c r="H45" s="25">
        <v>118000</v>
      </c>
      <c r="I45" s="25" t="str">
        <f>IFERROR(VLOOKUP(DetteFrs[N°Facture],ReglFrs[],7,FALSE),"0")</f>
        <v>0</v>
      </c>
      <c r="J45" s="25">
        <f>IFERROR(DetteFrs[[#This Row],[Net à Payer]]-DetteFrs[[#This Row],[Montant Payé]],"")</f>
        <v>118000</v>
      </c>
      <c r="K45" s="24">
        <v>45687</v>
      </c>
      <c r="L45" s="28">
        <f ca="1">IF(DetteFrs[Solde]=0,"",(TODAY()-DetteFrs[[#This Row],[Échéance]]))</f>
        <v>142</v>
      </c>
      <c r="M45" s="22" t="str">
        <f ca="1">IF(DetteFrs[Retard]="","Payé",IF(DetteFrs[Retard]&lt;=0,"Non Echue",IF(DetteFrs[Retard]&lt;=30,"Echue [1;30]",IF(DetteFrs[Retard]&lt;=60,"Echue [31;60]",IF(DetteFrs[Retard]&lt;=90,"Echue [61;90]","Echue &gt; 90")))))</f>
        <v>Echue &gt; 90</v>
      </c>
      <c r="O45" s="2" t="str">
        <f>+Tableau3[[#This Row],[Mois]]</f>
        <v>janvier</v>
      </c>
      <c r="P45" s="2" t="s">
        <v>175</v>
      </c>
      <c r="U45" s="1">
        <f>IFERROR(MONTH(DetteFrs[Date Saisie]),"")</f>
        <v>1</v>
      </c>
      <c r="V45" s="1" t="str">
        <f>TEXT(DetteFrs[Date Saisie],"mmmm")</f>
        <v>janvier</v>
      </c>
      <c r="W45" s="1" t="str">
        <f>TEXT(DetteFrs[Date Saisie],"yyyy")</f>
        <v>2025</v>
      </c>
    </row>
    <row r="46" spans="3:23" ht="16.5" x14ac:dyDescent="0.25">
      <c r="C46" s="29">
        <v>45687</v>
      </c>
      <c r="D46" s="21">
        <v>7613845227</v>
      </c>
      <c r="E46" s="8" t="str">
        <f>IFERROR(VLOOKUP(DetteFrs[N°Tiers],Tableau5[[N°tiers]:[Fournisseur]],2,FALSE),"")</f>
        <v>MAERSK COTE D IVOIRE</v>
      </c>
      <c r="F46" s="23" t="str">
        <f>VLOOKUP(DetteFrs[Fournisseur],Tableau5[[Fournisseur]:[Catégorie]],2,FALSE)</f>
        <v>FRS METIERS</v>
      </c>
      <c r="G46" s="21">
        <v>4011100006</v>
      </c>
      <c r="H46" s="25">
        <v>295000</v>
      </c>
      <c r="I46" s="25" t="str">
        <f>IFERROR(VLOOKUP(DetteFrs[N°Facture],ReglFrs[],7,FALSE),"0")</f>
        <v>0</v>
      </c>
      <c r="J46" s="25">
        <f>IFERROR(DetteFrs[[#This Row],[Net à Payer]]-DetteFrs[[#This Row],[Montant Payé]],"")</f>
        <v>295000</v>
      </c>
      <c r="K46" s="24">
        <v>45687</v>
      </c>
      <c r="L46" s="28">
        <f ca="1">IF(DetteFrs[Solde]=0,"",(TODAY()-DetteFrs[[#This Row],[Échéance]]))</f>
        <v>142</v>
      </c>
      <c r="M46" s="22" t="str">
        <f ca="1">IF(DetteFrs[Retard]="","Payé",IF(DetteFrs[Retard]&lt;=0,"Non Echue",IF(DetteFrs[Retard]&lt;=30,"Echue [1;30]",IF(DetteFrs[Retard]&lt;=60,"Echue [31;60]",IF(DetteFrs[Retard]&lt;=90,"Echue [61;90]","Echue &gt; 90")))))</f>
        <v>Echue &gt; 90</v>
      </c>
      <c r="O46" s="2" t="str">
        <f>+Tableau3[[#This Row],[Mois]]</f>
        <v>janvier</v>
      </c>
      <c r="P46" s="2" t="s">
        <v>175</v>
      </c>
      <c r="U46" s="1">
        <f>IFERROR(MONTH(DetteFrs[Date Saisie]),"")</f>
        <v>1</v>
      </c>
      <c r="V46" s="1" t="str">
        <f>TEXT(DetteFrs[Date Saisie],"mmmm")</f>
        <v>janvier</v>
      </c>
      <c r="W46" s="1" t="str">
        <f>TEXT(DetteFrs[Date Saisie],"yyyy")</f>
        <v>2025</v>
      </c>
    </row>
    <row r="47" spans="3:23" ht="16.5" x14ac:dyDescent="0.25">
      <c r="C47" s="29">
        <v>45687</v>
      </c>
      <c r="D47" s="21">
        <v>7613846851</v>
      </c>
      <c r="E47" s="8" t="str">
        <f>IFERROR(VLOOKUP(DetteFrs[N°Tiers],Tableau5[[N°tiers]:[Fournisseur]],2,FALSE),"")</f>
        <v>MAERSK COTE D IVOIRE</v>
      </c>
      <c r="F47" s="23" t="str">
        <f>VLOOKUP(DetteFrs[Fournisseur],Tableau5[[Fournisseur]:[Catégorie]],2,FALSE)</f>
        <v>FRS METIERS</v>
      </c>
      <c r="G47" s="21">
        <v>4011100006</v>
      </c>
      <c r="H47" s="25">
        <v>354000</v>
      </c>
      <c r="I47" s="25" t="str">
        <f>IFERROR(VLOOKUP(DetteFrs[N°Facture],ReglFrs[],7,FALSE),"0")</f>
        <v>0</v>
      </c>
      <c r="J47" s="25">
        <f>IFERROR(DetteFrs[[#This Row],[Net à Payer]]-DetteFrs[[#This Row],[Montant Payé]],"")</f>
        <v>354000</v>
      </c>
      <c r="K47" s="24">
        <v>45687</v>
      </c>
      <c r="L47" s="28">
        <f ca="1">IF(DetteFrs[Solde]=0,"",(TODAY()-DetteFrs[[#This Row],[Échéance]]))</f>
        <v>142</v>
      </c>
      <c r="M47" s="22" t="str">
        <f ca="1">IF(DetteFrs[Retard]="","Payé",IF(DetteFrs[Retard]&lt;=0,"Non Echue",IF(DetteFrs[Retard]&lt;=30,"Echue [1;30]",IF(DetteFrs[Retard]&lt;=60,"Echue [31;60]",IF(DetteFrs[Retard]&lt;=90,"Echue [61;90]","Echue &gt; 90")))))</f>
        <v>Echue &gt; 90</v>
      </c>
      <c r="O47" s="2" t="str">
        <f>+Tableau3[[#This Row],[Mois]]</f>
        <v>janvier</v>
      </c>
      <c r="P47" s="2" t="s">
        <v>175</v>
      </c>
      <c r="U47" s="1">
        <f>IFERROR(MONTH(DetteFrs[Date Saisie]),"")</f>
        <v>1</v>
      </c>
      <c r="V47" s="1" t="str">
        <f>TEXT(DetteFrs[Date Saisie],"mmmm")</f>
        <v>janvier</v>
      </c>
      <c r="W47" s="1" t="str">
        <f>TEXT(DetteFrs[Date Saisie],"yyyy")</f>
        <v>2025</v>
      </c>
    </row>
    <row r="48" spans="3:23" ht="16.5" x14ac:dyDescent="0.25">
      <c r="C48" s="29">
        <v>45708</v>
      </c>
      <c r="D48" s="21">
        <v>7613850835</v>
      </c>
      <c r="E48" s="8" t="str">
        <f>IFERROR(VLOOKUP(DetteFrs[N°Tiers],Tableau5[[N°tiers]:[Fournisseur]],2,FALSE),"")</f>
        <v>MAERSK COTE D IVOIRE</v>
      </c>
      <c r="F48" s="23" t="str">
        <f>VLOOKUP(DetteFrs[Fournisseur],Tableau5[[Fournisseur]:[Catégorie]],2,FALSE)</f>
        <v>FRS METIERS</v>
      </c>
      <c r="G48" s="21">
        <v>4011100006</v>
      </c>
      <c r="H48" s="25">
        <v>141600</v>
      </c>
      <c r="I48" s="25">
        <f>IFERROR(VLOOKUP(DetteFrs[N°Facture],ReglFrs[],7,FALSE),"0")</f>
        <v>141600</v>
      </c>
      <c r="J48" s="25">
        <f>IFERROR(DetteFrs[[#This Row],[Net à Payer]]-DetteFrs[[#This Row],[Montant Payé]],"")</f>
        <v>0</v>
      </c>
      <c r="K48" s="24">
        <v>45708</v>
      </c>
      <c r="L48" s="28" t="str">
        <f ca="1">IF(DetteFrs[Solde]=0,"",(TODAY()-DetteFrs[[#This Row],[Échéance]]))</f>
        <v/>
      </c>
      <c r="M48" s="22" t="str">
        <f ca="1">IF(DetteFrs[Retard]="","Payé",IF(DetteFrs[Retard]&lt;=0,"Non Echue",IF(DetteFrs[Retard]&lt;=30,"Echue [1;30]",IF(DetteFrs[Retard]&lt;=60,"Echue [31;60]",IF(DetteFrs[Retard]&lt;=90,"Echue [61;90]","Echue &gt; 90")))))</f>
        <v>Payé</v>
      </c>
      <c r="O48" s="2" t="str">
        <f>+Tableau3[[#This Row],[Mois]]</f>
        <v>février</v>
      </c>
      <c r="P48" s="2" t="s">
        <v>175</v>
      </c>
      <c r="U48" s="1">
        <f>IFERROR(MONTH(DetteFrs[Date Saisie]),"")</f>
        <v>2</v>
      </c>
      <c r="V48" s="1" t="str">
        <f>TEXT(DetteFrs[Date Saisie],"mmmm")</f>
        <v>février</v>
      </c>
      <c r="W48" s="1" t="str">
        <f>TEXT(DetteFrs[Date Saisie],"yyyy")</f>
        <v>2025</v>
      </c>
    </row>
    <row r="49" spans="3:23" ht="16.5" x14ac:dyDescent="0.25">
      <c r="C49" s="29">
        <v>45708</v>
      </c>
      <c r="D49" s="21">
        <v>7613850101</v>
      </c>
      <c r="E49" s="8" t="str">
        <f>IFERROR(VLOOKUP(DetteFrs[N°Tiers],Tableau5[[N°tiers]:[Fournisseur]],2,FALSE),"")</f>
        <v>MAERSK COTE D IVOIRE</v>
      </c>
      <c r="F49" s="23" t="str">
        <f>VLOOKUP(DetteFrs[Fournisseur],Tableau5[[Fournisseur]:[Catégorie]],2,FALSE)</f>
        <v>FRS METIERS</v>
      </c>
      <c r="G49" s="21">
        <v>4011100006</v>
      </c>
      <c r="H49" s="25">
        <v>141600</v>
      </c>
      <c r="I49" s="25">
        <f>IFERROR(VLOOKUP(DetteFrs[N°Facture],ReglFrs[],7,FALSE),"0")</f>
        <v>141600</v>
      </c>
      <c r="J49" s="25">
        <f>IFERROR(DetteFrs[[#This Row],[Net à Payer]]-DetteFrs[[#This Row],[Montant Payé]],"")</f>
        <v>0</v>
      </c>
      <c r="K49" s="24">
        <v>45708</v>
      </c>
      <c r="L49" s="28" t="str">
        <f ca="1">IF(DetteFrs[Solde]=0,"",(TODAY()-DetteFrs[[#This Row],[Échéance]]))</f>
        <v/>
      </c>
      <c r="M49" s="22" t="str">
        <f ca="1">IF(DetteFrs[Retard]="","Payé",IF(DetteFrs[Retard]&lt;=0,"Non Echue",IF(DetteFrs[Retard]&lt;=30,"Echue [1;30]",IF(DetteFrs[Retard]&lt;=60,"Echue [31;60]",IF(DetteFrs[Retard]&lt;=90,"Echue [61;90]","Echue &gt; 90")))))</f>
        <v>Payé</v>
      </c>
      <c r="O49" s="2" t="str">
        <f>+Tableau3[[#This Row],[Mois]]</f>
        <v>février</v>
      </c>
      <c r="P49" s="2" t="s">
        <v>175</v>
      </c>
      <c r="U49" s="1">
        <f>IFERROR(MONTH(DetteFrs[Date Saisie]),"")</f>
        <v>2</v>
      </c>
      <c r="V49" s="1" t="str">
        <f>TEXT(DetteFrs[Date Saisie],"mmmm")</f>
        <v>février</v>
      </c>
      <c r="W49" s="1" t="str">
        <f>TEXT(DetteFrs[Date Saisie],"yyyy")</f>
        <v>2025</v>
      </c>
    </row>
    <row r="50" spans="3:23" ht="16.5" x14ac:dyDescent="0.25">
      <c r="C50" s="29">
        <v>45693</v>
      </c>
      <c r="D50" s="21">
        <v>5618649560</v>
      </c>
      <c r="E50" s="8" t="str">
        <f>IFERROR(VLOOKUP(DetteFrs[N°Tiers],Tableau5[[N°tiers]:[Fournisseur]],2,FALSE),"")</f>
        <v>MAERSK COTE D IVOIRE</v>
      </c>
      <c r="F50" s="23" t="str">
        <f>VLOOKUP(DetteFrs[Fournisseur],Tableau5[[Fournisseur]:[Catégorie]],2,FALSE)</f>
        <v>FRS METIERS</v>
      </c>
      <c r="G50" s="21">
        <v>4011100006</v>
      </c>
      <c r="H50" s="25">
        <v>484220</v>
      </c>
      <c r="I50" s="25">
        <f>IFERROR(VLOOKUP(DetteFrs[N°Facture],ReglFrs[],7,FALSE),"0")</f>
        <v>484220</v>
      </c>
      <c r="J50" s="25">
        <f>IFERROR(DetteFrs[[#This Row],[Net à Payer]]-DetteFrs[[#This Row],[Montant Payé]],"")</f>
        <v>0</v>
      </c>
      <c r="K50" s="24">
        <v>45695</v>
      </c>
      <c r="L50" s="28" t="str">
        <f ca="1">IF(DetteFrs[Solde]=0,"",(TODAY()-DetteFrs[[#This Row],[Échéance]]))</f>
        <v/>
      </c>
      <c r="M50" s="22" t="str">
        <f ca="1">IF(DetteFrs[Retard]="","Payé",IF(DetteFrs[Retard]&lt;=0,"Non Echue",IF(DetteFrs[Retard]&lt;=30,"Echue [1;30]",IF(DetteFrs[Retard]&lt;=60,"Echue [31;60]",IF(DetteFrs[Retard]&lt;=90,"Echue [61;90]","Echue &gt; 90")))))</f>
        <v>Payé</v>
      </c>
      <c r="O50" s="2" t="str">
        <f>+Tableau3[[#This Row],[Mois]]</f>
        <v>février</v>
      </c>
      <c r="P50" s="2" t="s">
        <v>175</v>
      </c>
      <c r="U50" s="1">
        <f>IFERROR(MONTH(DetteFrs[Date Saisie]),"")</f>
        <v>2</v>
      </c>
      <c r="V50" s="1" t="str">
        <f>TEXT(DetteFrs[Date Saisie],"mmmm")</f>
        <v>février</v>
      </c>
      <c r="W50" s="1" t="str">
        <f>TEXT(DetteFrs[Date Saisie],"yyyy")</f>
        <v>2025</v>
      </c>
    </row>
    <row r="51" spans="3:23" ht="16.5" x14ac:dyDescent="0.25">
      <c r="C51" s="29">
        <v>45693</v>
      </c>
      <c r="D51" s="21">
        <v>5618649561</v>
      </c>
      <c r="E51" s="8" t="str">
        <f>IFERROR(VLOOKUP(DetteFrs[N°Tiers],Tableau5[[N°tiers]:[Fournisseur]],2,FALSE),"")</f>
        <v>MAERSK COTE D IVOIRE</v>
      </c>
      <c r="F51" s="23" t="str">
        <f>VLOOKUP(DetteFrs[Fournisseur],Tableau5[[Fournisseur]:[Catégorie]],2,FALSE)</f>
        <v>FRS METIERS</v>
      </c>
      <c r="G51" s="21">
        <v>4011100006</v>
      </c>
      <c r="H51" s="25">
        <v>70740</v>
      </c>
      <c r="I51" s="25">
        <f>IFERROR(VLOOKUP(DetteFrs[N°Facture],ReglFrs[],7,FALSE),"0")</f>
        <v>70740</v>
      </c>
      <c r="J51" s="25">
        <f>IFERROR(DetteFrs[[#This Row],[Net à Payer]]-DetteFrs[[#This Row],[Montant Payé]],"")</f>
        <v>0</v>
      </c>
      <c r="K51" s="24">
        <v>45695</v>
      </c>
      <c r="L51" s="28" t="str">
        <f ca="1">IF(DetteFrs[Solde]=0,"",(TODAY()-DetteFrs[[#This Row],[Échéance]]))</f>
        <v/>
      </c>
      <c r="M51" s="22" t="str">
        <f ca="1">IF(DetteFrs[Retard]="","Payé",IF(DetteFrs[Retard]&lt;=0,"Non Echue",IF(DetteFrs[Retard]&lt;=30,"Echue [1;30]",IF(DetteFrs[Retard]&lt;=60,"Echue [31;60]",IF(DetteFrs[Retard]&lt;=90,"Echue [61;90]","Echue &gt; 90")))))</f>
        <v>Payé</v>
      </c>
      <c r="O51" s="2" t="str">
        <f>+Tableau3[[#This Row],[Mois]]</f>
        <v>février</v>
      </c>
      <c r="P51" s="2" t="s">
        <v>175</v>
      </c>
      <c r="U51" s="1">
        <f>IFERROR(MONTH(DetteFrs[Date Saisie]),"")</f>
        <v>2</v>
      </c>
      <c r="V51" s="1" t="str">
        <f>TEXT(DetteFrs[Date Saisie],"mmmm")</f>
        <v>février</v>
      </c>
      <c r="W51" s="1" t="str">
        <f>TEXT(DetteFrs[Date Saisie],"yyyy")</f>
        <v>2025</v>
      </c>
    </row>
    <row r="52" spans="3:23" ht="16.5" x14ac:dyDescent="0.25">
      <c r="C52" s="29">
        <v>45693</v>
      </c>
      <c r="D52" s="21">
        <v>5618648437</v>
      </c>
      <c r="E52" s="8" t="str">
        <f>IFERROR(VLOOKUP(DetteFrs[N°Tiers],Tableau5[[N°tiers]:[Fournisseur]],2,FALSE),"")</f>
        <v>MAERSK COTE D IVOIRE</v>
      </c>
      <c r="F52" s="23" t="str">
        <f>VLOOKUP(DetteFrs[Fournisseur],Tableau5[[Fournisseur]:[Catégorie]],2,FALSE)</f>
        <v>FRS METIERS</v>
      </c>
      <c r="G52" s="21">
        <v>4011100006</v>
      </c>
      <c r="H52" s="25">
        <v>1387000</v>
      </c>
      <c r="I52" s="25">
        <f>IFERROR(VLOOKUP(DetteFrs[N°Facture],ReglFrs[],7,FALSE),"0")</f>
        <v>1387000</v>
      </c>
      <c r="J52" s="25">
        <f>IFERROR(DetteFrs[[#This Row],[Net à Payer]]-DetteFrs[[#This Row],[Montant Payé]],"")</f>
        <v>0</v>
      </c>
      <c r="K52" s="24">
        <v>45695</v>
      </c>
      <c r="L52" s="28" t="str">
        <f ca="1">IF(DetteFrs[Solde]=0,"",(TODAY()-DetteFrs[[#This Row],[Échéance]]))</f>
        <v/>
      </c>
      <c r="M52" s="22" t="str">
        <f ca="1">IF(DetteFrs[Retard]="","Payé",IF(DetteFrs[Retard]&lt;=0,"Non Echue",IF(DetteFrs[Retard]&lt;=30,"Echue [1;30]",IF(DetteFrs[Retard]&lt;=60,"Echue [31;60]",IF(DetteFrs[Retard]&lt;=90,"Echue [61;90]","Echue &gt; 90")))))</f>
        <v>Payé</v>
      </c>
      <c r="O52" s="2" t="str">
        <f>+Tableau3[[#This Row],[Mois]]</f>
        <v>février</v>
      </c>
      <c r="P52" s="2" t="s">
        <v>175</v>
      </c>
      <c r="U52" s="1">
        <f>IFERROR(MONTH(DetteFrs[Date Saisie]),"")</f>
        <v>2</v>
      </c>
      <c r="V52" s="1" t="str">
        <f>TEXT(DetteFrs[Date Saisie],"mmmm")</f>
        <v>février</v>
      </c>
      <c r="W52" s="1" t="str">
        <f>TEXT(DetteFrs[Date Saisie],"yyyy")</f>
        <v>2025</v>
      </c>
    </row>
    <row r="53" spans="3:23" ht="16.5" x14ac:dyDescent="0.25">
      <c r="C53" s="29">
        <v>45693</v>
      </c>
      <c r="D53" s="21">
        <v>5618648362</v>
      </c>
      <c r="E53" s="8" t="str">
        <f>IFERROR(VLOOKUP(DetteFrs[N°Tiers],Tableau5[[N°tiers]:[Fournisseur]],2,FALSE),"")</f>
        <v>MAERSK COTE D IVOIRE</v>
      </c>
      <c r="F53" s="23" t="str">
        <f>VLOOKUP(DetteFrs[Fournisseur],Tableau5[[Fournisseur]:[Catégorie]],2,FALSE)</f>
        <v>FRS METIERS</v>
      </c>
      <c r="G53" s="21">
        <v>4011100006</v>
      </c>
      <c r="H53" s="25">
        <v>50000</v>
      </c>
      <c r="I53" s="25">
        <f>IFERROR(VLOOKUP(DetteFrs[N°Facture],ReglFrs[],7,FALSE),"0")</f>
        <v>50000</v>
      </c>
      <c r="J53" s="25">
        <f>IFERROR(DetteFrs[[#This Row],[Net à Payer]]-DetteFrs[[#This Row],[Montant Payé]],"")</f>
        <v>0</v>
      </c>
      <c r="K53" s="24">
        <v>45695</v>
      </c>
      <c r="L53" s="28" t="str">
        <f ca="1">IF(DetteFrs[Solde]=0,"",(TODAY()-DetteFrs[[#This Row],[Échéance]]))</f>
        <v/>
      </c>
      <c r="M53" s="22" t="str">
        <f ca="1">IF(DetteFrs[Retard]="","Payé",IF(DetteFrs[Retard]&lt;=0,"Non Echue",IF(DetteFrs[Retard]&lt;=30,"Echue [1;30]",IF(DetteFrs[Retard]&lt;=60,"Echue [31;60]",IF(DetteFrs[Retard]&lt;=90,"Echue [61;90]","Echue &gt; 90")))))</f>
        <v>Payé</v>
      </c>
      <c r="O53" s="2" t="str">
        <f>+Tableau3[[#This Row],[Mois]]</f>
        <v>février</v>
      </c>
      <c r="P53" s="2" t="s">
        <v>175</v>
      </c>
      <c r="U53" s="1">
        <f>IFERROR(MONTH(DetteFrs[Date Saisie]),"")</f>
        <v>2</v>
      </c>
      <c r="V53" s="1" t="str">
        <f>TEXT(DetteFrs[Date Saisie],"mmmm")</f>
        <v>février</v>
      </c>
      <c r="W53" s="1" t="str">
        <f>TEXT(DetteFrs[Date Saisie],"yyyy")</f>
        <v>2025</v>
      </c>
    </row>
    <row r="54" spans="3:23" ht="16.5" x14ac:dyDescent="0.25">
      <c r="C54" s="29">
        <v>45693</v>
      </c>
      <c r="D54" s="21">
        <v>5618650083</v>
      </c>
      <c r="E54" s="8" t="str">
        <f>IFERROR(VLOOKUP(DetteFrs[N°Tiers],Tableau5[[N°tiers]:[Fournisseur]],2,FALSE),"")</f>
        <v>MAERSK COTE D IVOIRE</v>
      </c>
      <c r="F54" s="23" t="str">
        <f>VLOOKUP(DetteFrs[Fournisseur],Tableau5[[Fournisseur]:[Catégorie]],2,FALSE)</f>
        <v>FRS METIERS</v>
      </c>
      <c r="G54" s="21">
        <v>4011100006</v>
      </c>
      <c r="H54" s="25">
        <v>10000</v>
      </c>
      <c r="I54" s="25">
        <f>IFERROR(VLOOKUP(DetteFrs[N°Facture],ReglFrs[],7,FALSE),"0")</f>
        <v>10000</v>
      </c>
      <c r="J54" s="25">
        <f>IFERROR(DetteFrs[[#This Row],[Net à Payer]]-DetteFrs[[#This Row],[Montant Payé]],"")</f>
        <v>0</v>
      </c>
      <c r="K54" s="24">
        <v>45695</v>
      </c>
      <c r="L54" s="28" t="str">
        <f ca="1">IF(DetteFrs[Solde]=0,"",(TODAY()-DetteFrs[[#This Row],[Échéance]]))</f>
        <v/>
      </c>
      <c r="M54" s="22" t="str">
        <f ca="1">IF(DetteFrs[Retard]="","Payé",IF(DetteFrs[Retard]&lt;=0,"Non Echue",IF(DetteFrs[Retard]&lt;=30,"Echue [1;30]",IF(DetteFrs[Retard]&lt;=60,"Echue [31;60]",IF(DetteFrs[Retard]&lt;=90,"Echue [61;90]","Echue &gt; 90")))))</f>
        <v>Payé</v>
      </c>
      <c r="O54" s="2" t="str">
        <f>+Tableau3[[#This Row],[Mois]]</f>
        <v>février</v>
      </c>
      <c r="P54" s="2" t="s">
        <v>175</v>
      </c>
      <c r="U54" s="1">
        <f>IFERROR(MONTH(DetteFrs[Date Saisie]),"")</f>
        <v>2</v>
      </c>
      <c r="V54" s="1" t="str">
        <f>TEXT(DetteFrs[Date Saisie],"mmmm")</f>
        <v>février</v>
      </c>
      <c r="W54" s="1" t="str">
        <f>TEXT(DetteFrs[Date Saisie],"yyyy")</f>
        <v>2025</v>
      </c>
    </row>
    <row r="55" spans="3:23" ht="16.5" x14ac:dyDescent="0.25">
      <c r="C55" s="29">
        <v>45693</v>
      </c>
      <c r="D55" s="21">
        <v>5418646723</v>
      </c>
      <c r="E55" s="8" t="str">
        <f>IFERROR(VLOOKUP(DetteFrs[N°Tiers],Tableau5[[N°tiers]:[Fournisseur]],2,FALSE),"")</f>
        <v>MAERSK COTE D IVOIRE</v>
      </c>
      <c r="F55" s="23" t="str">
        <f>VLOOKUP(DetteFrs[Fournisseur],Tableau5[[Fournisseur]:[Catégorie]],2,FALSE)</f>
        <v>FRS METIERS</v>
      </c>
      <c r="G55" s="21">
        <v>4011100006</v>
      </c>
      <c r="H55" s="25">
        <v>43665</v>
      </c>
      <c r="I55" s="25">
        <f>IFERROR(VLOOKUP(DetteFrs[N°Facture],ReglFrs[],7,FALSE),"0")</f>
        <v>43665</v>
      </c>
      <c r="J55" s="25">
        <f>IFERROR(DetteFrs[[#This Row],[Net à Payer]]-DetteFrs[[#This Row],[Montant Payé]],"")</f>
        <v>0</v>
      </c>
      <c r="K55" s="24">
        <v>45695</v>
      </c>
      <c r="L55" s="28" t="str">
        <f ca="1">IF(DetteFrs[Solde]=0,"",(TODAY()-DetteFrs[[#This Row],[Échéance]]))</f>
        <v/>
      </c>
      <c r="M55" s="22" t="str">
        <f ca="1">IF(DetteFrs[Retard]="","Payé",IF(DetteFrs[Retard]&lt;=0,"Non Echue",IF(DetteFrs[Retard]&lt;=30,"Echue [1;30]",IF(DetteFrs[Retard]&lt;=60,"Echue [31;60]",IF(DetteFrs[Retard]&lt;=90,"Echue [61;90]","Echue &gt; 90")))))</f>
        <v>Payé</v>
      </c>
      <c r="O55" s="2" t="str">
        <f>+Tableau3[[#This Row],[Mois]]</f>
        <v>février</v>
      </c>
      <c r="P55" s="2" t="s">
        <v>175</v>
      </c>
      <c r="U55" s="1">
        <f>IFERROR(MONTH(DetteFrs[Date Saisie]),"")</f>
        <v>2</v>
      </c>
      <c r="V55" s="1" t="str">
        <f>TEXT(DetteFrs[Date Saisie],"mmmm")</f>
        <v>février</v>
      </c>
      <c r="W55" s="1" t="str">
        <f>TEXT(DetteFrs[Date Saisie],"yyyy")</f>
        <v>2025</v>
      </c>
    </row>
    <row r="56" spans="3:23" ht="16.5" x14ac:dyDescent="0.25">
      <c r="C56" s="29">
        <v>45694</v>
      </c>
      <c r="D56" s="21">
        <v>7523589774</v>
      </c>
      <c r="E56" s="8" t="str">
        <f>IFERROR(VLOOKUP(DetteFrs[N°Tiers],Tableau5[[N°tiers]:[Fournisseur]],2,FALSE),"")</f>
        <v>MAERSK COTE D IVOIRE</v>
      </c>
      <c r="F56" s="23" t="str">
        <f>VLOOKUP(DetteFrs[Fournisseur],Tableau5[[Fournisseur]:[Catégorie]],2,FALSE)</f>
        <v>FRS METIERS</v>
      </c>
      <c r="G56" s="21">
        <v>4011100006</v>
      </c>
      <c r="H56" s="25">
        <v>60000</v>
      </c>
      <c r="I56" s="25">
        <f>IFERROR(VLOOKUP(DetteFrs[N°Facture],ReglFrs[],7,FALSE),"0")</f>
        <v>60000</v>
      </c>
      <c r="J56" s="25">
        <f>IFERROR(DetteFrs[[#This Row],[Net à Payer]]-DetteFrs[[#This Row],[Montant Payé]],"")</f>
        <v>0</v>
      </c>
      <c r="K56" s="24">
        <v>45695</v>
      </c>
      <c r="L56" s="28" t="str">
        <f ca="1">IF(DetteFrs[Solde]=0,"",(TODAY()-DetteFrs[[#This Row],[Échéance]]))</f>
        <v/>
      </c>
      <c r="M56" s="22" t="str">
        <f ca="1">IF(DetteFrs[Retard]="","Payé",IF(DetteFrs[Retard]&lt;=0,"Non Echue",IF(DetteFrs[Retard]&lt;=30,"Echue [1;30]",IF(DetteFrs[Retard]&lt;=60,"Echue [31;60]",IF(DetteFrs[Retard]&lt;=90,"Echue [61;90]","Echue &gt; 90")))))</f>
        <v>Payé</v>
      </c>
      <c r="O56" s="2" t="str">
        <f>+Tableau3[[#This Row],[Mois]]</f>
        <v>février</v>
      </c>
      <c r="P56" s="2" t="s">
        <v>175</v>
      </c>
      <c r="U56" s="1">
        <f>IFERROR(MONTH(DetteFrs[Date Saisie]),"")</f>
        <v>2</v>
      </c>
      <c r="V56" s="1" t="str">
        <f>TEXT(DetteFrs[Date Saisie],"mmmm")</f>
        <v>février</v>
      </c>
      <c r="W56" s="1" t="str">
        <f>TEXT(DetteFrs[Date Saisie],"yyyy")</f>
        <v>2025</v>
      </c>
    </row>
    <row r="57" spans="3:23" ht="16.5" x14ac:dyDescent="0.25">
      <c r="C57" s="29">
        <v>45694</v>
      </c>
      <c r="D57" s="21">
        <v>7523636818</v>
      </c>
      <c r="E57" s="8" t="str">
        <f>IFERROR(VLOOKUP(DetteFrs[N°Tiers],Tableau5[[N°tiers]:[Fournisseur]],2,FALSE),"")</f>
        <v>MAERSK COTE D IVOIRE</v>
      </c>
      <c r="F57" s="23" t="str">
        <f>VLOOKUP(DetteFrs[Fournisseur],Tableau5[[Fournisseur]:[Catégorie]],2,FALSE)</f>
        <v>FRS METIERS</v>
      </c>
      <c r="G57" s="21">
        <v>4011100006</v>
      </c>
      <c r="H57" s="25">
        <v>37500</v>
      </c>
      <c r="I57" s="25">
        <f>IFERROR(VLOOKUP(DetteFrs[N°Facture],ReglFrs[],7,FALSE),"0")</f>
        <v>37500</v>
      </c>
      <c r="J57" s="25">
        <f>IFERROR(DetteFrs[[#This Row],[Net à Payer]]-DetteFrs[[#This Row],[Montant Payé]],"")</f>
        <v>0</v>
      </c>
      <c r="K57" s="24">
        <v>45695</v>
      </c>
      <c r="L57" s="28" t="str">
        <f ca="1">IF(DetteFrs[Solde]=0,"",(TODAY()-DetteFrs[[#This Row],[Échéance]]))</f>
        <v/>
      </c>
      <c r="M57" s="22" t="str">
        <f ca="1">IF(DetteFrs[Retard]="","Payé",IF(DetteFrs[Retard]&lt;=0,"Non Echue",IF(DetteFrs[Retard]&lt;=30,"Echue [1;30]",IF(DetteFrs[Retard]&lt;=60,"Echue [31;60]",IF(DetteFrs[Retard]&lt;=90,"Echue [61;90]","Echue &gt; 90")))))</f>
        <v>Payé</v>
      </c>
      <c r="O57" s="2" t="str">
        <f>+Tableau3[[#This Row],[Mois]]</f>
        <v>février</v>
      </c>
      <c r="P57" s="2" t="s">
        <v>175</v>
      </c>
      <c r="U57" s="1">
        <f>IFERROR(MONTH(DetteFrs[Date Saisie]),"")</f>
        <v>2</v>
      </c>
      <c r="V57" s="1" t="str">
        <f>TEXT(DetteFrs[Date Saisie],"mmmm")</f>
        <v>février</v>
      </c>
      <c r="W57" s="1" t="str">
        <f>TEXT(DetteFrs[Date Saisie],"yyyy")</f>
        <v>2025</v>
      </c>
    </row>
    <row r="58" spans="3:23" ht="16.5" x14ac:dyDescent="0.25">
      <c r="C58" s="29">
        <v>45694</v>
      </c>
      <c r="D58" s="21">
        <v>7523692981</v>
      </c>
      <c r="E58" s="8" t="str">
        <f>IFERROR(VLOOKUP(DetteFrs[N°Tiers],Tableau5[[N°tiers]:[Fournisseur]],2,FALSE),"")</f>
        <v>MAERSK COTE D IVOIRE</v>
      </c>
      <c r="F58" s="23" t="str">
        <f>VLOOKUP(DetteFrs[Fournisseur],Tableau5[[Fournisseur]:[Catégorie]],2,FALSE)</f>
        <v>FRS METIERS</v>
      </c>
      <c r="G58" s="21">
        <v>4011100006</v>
      </c>
      <c r="H58" s="25">
        <v>37500</v>
      </c>
      <c r="I58" s="25">
        <f>IFERROR(VLOOKUP(DetteFrs[N°Facture],ReglFrs[],7,FALSE),"0")</f>
        <v>37500</v>
      </c>
      <c r="J58" s="25">
        <f>IFERROR(DetteFrs[[#This Row],[Net à Payer]]-DetteFrs[[#This Row],[Montant Payé]],"")</f>
        <v>0</v>
      </c>
      <c r="K58" s="24">
        <v>45695</v>
      </c>
      <c r="L58" s="28" t="str">
        <f ca="1">IF(DetteFrs[Solde]=0,"",(TODAY()-DetteFrs[[#This Row],[Échéance]]))</f>
        <v/>
      </c>
      <c r="M58" s="22" t="str">
        <f ca="1">IF(DetteFrs[Retard]="","Payé",IF(DetteFrs[Retard]&lt;=0,"Non Echue",IF(DetteFrs[Retard]&lt;=30,"Echue [1;30]",IF(DetteFrs[Retard]&lt;=60,"Echue [31;60]",IF(DetteFrs[Retard]&lt;=90,"Echue [61;90]","Echue &gt; 90")))))</f>
        <v>Payé</v>
      </c>
      <c r="O58" s="2" t="str">
        <f>+Tableau3[[#This Row],[Mois]]</f>
        <v>février</v>
      </c>
      <c r="P58" s="2" t="s">
        <v>175</v>
      </c>
      <c r="U58" s="1">
        <f>IFERROR(MONTH(DetteFrs[Date Saisie]),"")</f>
        <v>2</v>
      </c>
      <c r="V58" s="1" t="str">
        <f>TEXT(DetteFrs[Date Saisie],"mmmm")</f>
        <v>février</v>
      </c>
      <c r="W58" s="1" t="str">
        <f>TEXT(DetteFrs[Date Saisie],"yyyy")</f>
        <v>2025</v>
      </c>
    </row>
    <row r="59" spans="3:23" ht="16.5" x14ac:dyDescent="0.25">
      <c r="C59" s="29">
        <v>45694</v>
      </c>
      <c r="D59" s="21">
        <v>7523942501</v>
      </c>
      <c r="E59" s="8" t="str">
        <f>IFERROR(VLOOKUP(DetteFrs[N°Tiers],Tableau5[[N°tiers]:[Fournisseur]],2,FALSE),"")</f>
        <v>MAERSK COTE D IVOIRE</v>
      </c>
      <c r="F59" s="23" t="str">
        <f>VLOOKUP(DetteFrs[Fournisseur],Tableau5[[Fournisseur]:[Catégorie]],2,FALSE)</f>
        <v>FRS METIERS</v>
      </c>
      <c r="G59" s="21">
        <v>4011100006</v>
      </c>
      <c r="H59" s="25">
        <v>92500</v>
      </c>
      <c r="I59" s="25">
        <f>IFERROR(VLOOKUP(DetteFrs[N°Facture],ReglFrs[],7,FALSE),"0")</f>
        <v>92500</v>
      </c>
      <c r="J59" s="25">
        <f>IFERROR(DetteFrs[[#This Row],[Net à Payer]]-DetteFrs[[#This Row],[Montant Payé]],"")</f>
        <v>0</v>
      </c>
      <c r="K59" s="24">
        <v>45695</v>
      </c>
      <c r="L59" s="28" t="str">
        <f ca="1">IF(DetteFrs[Solde]=0,"",(TODAY()-DetteFrs[[#This Row],[Échéance]]))</f>
        <v/>
      </c>
      <c r="M59" s="22" t="str">
        <f ca="1">IF(DetteFrs[Retard]="","Payé",IF(DetteFrs[Retard]&lt;=0,"Non Echue",IF(DetteFrs[Retard]&lt;=30,"Echue [1;30]",IF(DetteFrs[Retard]&lt;=60,"Echue [31;60]",IF(DetteFrs[Retard]&lt;=90,"Echue [61;90]","Echue &gt; 90")))))</f>
        <v>Payé</v>
      </c>
      <c r="O59" s="2" t="str">
        <f>+Tableau3[[#This Row],[Mois]]</f>
        <v>février</v>
      </c>
      <c r="P59" s="2" t="s">
        <v>175</v>
      </c>
      <c r="U59" s="1">
        <f>IFERROR(MONTH(DetteFrs[Date Saisie]),"")</f>
        <v>2</v>
      </c>
      <c r="V59" s="1" t="str">
        <f>TEXT(DetteFrs[Date Saisie],"mmmm")</f>
        <v>février</v>
      </c>
      <c r="W59" s="1" t="str">
        <f>TEXT(DetteFrs[Date Saisie],"yyyy")</f>
        <v>2025</v>
      </c>
    </row>
    <row r="60" spans="3:23" ht="16.5" x14ac:dyDescent="0.25">
      <c r="C60" s="29">
        <v>45694</v>
      </c>
      <c r="D60" s="21">
        <v>7523850660</v>
      </c>
      <c r="E60" s="8" t="str">
        <f>IFERROR(VLOOKUP(DetteFrs[N°Tiers],Tableau5[[N°tiers]:[Fournisseur]],2,FALSE),"")</f>
        <v>MAERSK COTE D IVOIRE</v>
      </c>
      <c r="F60" s="23" t="str">
        <f>VLOOKUP(DetteFrs[Fournisseur],Tableau5[[Fournisseur]:[Catégorie]],2,FALSE)</f>
        <v>FRS METIERS</v>
      </c>
      <c r="G60" s="21">
        <v>4011100006</v>
      </c>
      <c r="H60" s="25">
        <v>47200</v>
      </c>
      <c r="I60" s="25">
        <f>IFERROR(VLOOKUP(DetteFrs[N°Facture],ReglFrs[],7,FALSE),"0")</f>
        <v>47200</v>
      </c>
      <c r="J60" s="25">
        <f>IFERROR(DetteFrs[[#This Row],[Net à Payer]]-DetteFrs[[#This Row],[Montant Payé]],"")</f>
        <v>0</v>
      </c>
      <c r="K60" s="24">
        <v>45695</v>
      </c>
      <c r="L60" s="28" t="str">
        <f ca="1">IF(DetteFrs[Solde]=0,"",(TODAY()-DetteFrs[[#This Row],[Échéance]]))</f>
        <v/>
      </c>
      <c r="M60" s="22" t="str">
        <f ca="1">IF(DetteFrs[Retard]="","Payé",IF(DetteFrs[Retard]&lt;=0,"Non Echue",IF(DetteFrs[Retard]&lt;=30,"Echue [1;30]",IF(DetteFrs[Retard]&lt;=60,"Echue [31;60]",IF(DetteFrs[Retard]&lt;=90,"Echue [61;90]","Echue &gt; 90")))))</f>
        <v>Payé</v>
      </c>
      <c r="O60" s="2" t="str">
        <f>+Tableau3[[#This Row],[Mois]]</f>
        <v>février</v>
      </c>
      <c r="P60" s="2" t="s">
        <v>175</v>
      </c>
      <c r="U60" s="1">
        <f>IFERROR(MONTH(DetteFrs[Date Saisie]),"")</f>
        <v>2</v>
      </c>
      <c r="V60" s="1" t="str">
        <f>TEXT(DetteFrs[Date Saisie],"mmmm")</f>
        <v>février</v>
      </c>
      <c r="W60" s="1" t="str">
        <f>TEXT(DetteFrs[Date Saisie],"yyyy")</f>
        <v>2025</v>
      </c>
    </row>
    <row r="61" spans="3:23" ht="16.5" x14ac:dyDescent="0.25">
      <c r="C61" s="29">
        <v>45694</v>
      </c>
      <c r="D61" s="21">
        <v>7613846711</v>
      </c>
      <c r="E61" s="8" t="str">
        <f>IFERROR(VLOOKUP(DetteFrs[N°Tiers],Tableau5[[N°tiers]:[Fournisseur]],2,FALSE),"")</f>
        <v>MAERSK COTE D IVOIRE</v>
      </c>
      <c r="F61" s="23" t="str">
        <f>VLOOKUP(DetteFrs[Fournisseur],Tableau5[[Fournisseur]:[Catégorie]],2,FALSE)</f>
        <v>FRS METIERS</v>
      </c>
      <c r="G61" s="21">
        <v>4011100006</v>
      </c>
      <c r="H61" s="25">
        <v>501983</v>
      </c>
      <c r="I61" s="25">
        <f>IFERROR(VLOOKUP(DetteFrs[N°Facture],ReglFrs[],7,FALSE),"0")</f>
        <v>501983</v>
      </c>
      <c r="J61" s="25">
        <f>IFERROR(DetteFrs[[#This Row],[Net à Payer]]-DetteFrs[[#This Row],[Montant Payé]],"")</f>
        <v>0</v>
      </c>
      <c r="K61" s="24">
        <v>45695</v>
      </c>
      <c r="L61" s="28" t="str">
        <f ca="1">IF(DetteFrs[Solde]=0,"",(TODAY()-DetteFrs[[#This Row],[Échéance]]))</f>
        <v/>
      </c>
      <c r="M61" s="22" t="str">
        <f ca="1">IF(DetteFrs[Retard]="","Payé",IF(DetteFrs[Retard]&lt;=0,"Non Echue",IF(DetteFrs[Retard]&lt;=30,"Echue [1;30]",IF(DetteFrs[Retard]&lt;=60,"Echue [31;60]",IF(DetteFrs[Retard]&lt;=90,"Echue [61;90]","Echue &gt; 90")))))</f>
        <v>Payé</v>
      </c>
      <c r="O61" s="2" t="str">
        <f>+Tableau3[[#This Row],[Mois]]</f>
        <v>février</v>
      </c>
      <c r="P61" s="2" t="s">
        <v>175</v>
      </c>
      <c r="U61" s="1">
        <f>IFERROR(MONTH(DetteFrs[Date Saisie]),"")</f>
        <v>2</v>
      </c>
      <c r="V61" s="1" t="str">
        <f>TEXT(DetteFrs[Date Saisie],"mmmm")</f>
        <v>février</v>
      </c>
      <c r="W61" s="1" t="str">
        <f>TEXT(DetteFrs[Date Saisie],"yyyy")</f>
        <v>2025</v>
      </c>
    </row>
    <row r="62" spans="3:23" ht="16.5" x14ac:dyDescent="0.25">
      <c r="C62" s="29">
        <v>45694</v>
      </c>
      <c r="D62" s="21">
        <v>7613848295</v>
      </c>
      <c r="E62" s="8" t="str">
        <f>IFERROR(VLOOKUP(DetteFrs[N°Tiers],Tableau5[[N°tiers]:[Fournisseur]],2,FALSE),"")</f>
        <v>MAERSK COTE D IVOIRE</v>
      </c>
      <c r="F62" s="23" t="str">
        <f>VLOOKUP(DetteFrs[Fournisseur],Tableau5[[Fournisseur]:[Catégorie]],2,FALSE)</f>
        <v>FRS METIERS</v>
      </c>
      <c r="G62" s="21">
        <v>4011100006</v>
      </c>
      <c r="H62" s="25">
        <v>5664000</v>
      </c>
      <c r="I62" s="25">
        <f>IFERROR(VLOOKUP(DetteFrs[N°Facture],ReglFrs[],7,FALSE),"0")</f>
        <v>5664000</v>
      </c>
      <c r="J62" s="25">
        <f>IFERROR(DetteFrs[[#This Row],[Net à Payer]]-DetteFrs[[#This Row],[Montant Payé]],"")</f>
        <v>0</v>
      </c>
      <c r="K62" s="24">
        <v>45695</v>
      </c>
      <c r="L62" s="28" t="str">
        <f ca="1">IF(DetteFrs[Solde]=0,"",(TODAY()-DetteFrs[[#This Row],[Échéance]]))</f>
        <v/>
      </c>
      <c r="M62" s="22" t="str">
        <f ca="1">IF(DetteFrs[Retard]="","Payé",IF(DetteFrs[Retard]&lt;=0,"Non Echue",IF(DetteFrs[Retard]&lt;=30,"Echue [1;30]",IF(DetteFrs[Retard]&lt;=60,"Echue [31;60]",IF(DetteFrs[Retard]&lt;=90,"Echue [61;90]","Echue &gt; 90")))))</f>
        <v>Payé</v>
      </c>
      <c r="O62" s="2" t="str">
        <f>+Tableau3[[#This Row],[Mois]]</f>
        <v>février</v>
      </c>
      <c r="P62" s="2" t="s">
        <v>175</v>
      </c>
      <c r="U62" s="1">
        <f>IFERROR(MONTH(DetteFrs[Date Saisie]),"")</f>
        <v>2</v>
      </c>
      <c r="V62" s="1" t="str">
        <f>TEXT(DetteFrs[Date Saisie],"mmmm")</f>
        <v>février</v>
      </c>
      <c r="W62" s="1" t="str">
        <f>TEXT(DetteFrs[Date Saisie],"yyyy")</f>
        <v>2025</v>
      </c>
    </row>
    <row r="63" spans="3:23" ht="16.5" x14ac:dyDescent="0.25">
      <c r="C63" s="29">
        <v>45694</v>
      </c>
      <c r="D63" s="21">
        <v>7613848679</v>
      </c>
      <c r="E63" s="8" t="str">
        <f>IFERROR(VLOOKUP(DetteFrs[N°Tiers],Tableau5[[N°tiers]:[Fournisseur]],2,FALSE),"")</f>
        <v>MAERSK COTE D IVOIRE</v>
      </c>
      <c r="F63" s="23" t="str">
        <f>VLOOKUP(DetteFrs[Fournisseur],Tableau5[[Fournisseur]:[Catégorie]],2,FALSE)</f>
        <v>FRS METIERS</v>
      </c>
      <c r="G63" s="21">
        <v>4011100006</v>
      </c>
      <c r="H63" s="25">
        <v>247800</v>
      </c>
      <c r="I63" s="25">
        <f>IFERROR(VLOOKUP(DetteFrs[N°Facture],ReglFrs[],7,FALSE),"0")</f>
        <v>247800</v>
      </c>
      <c r="J63" s="25">
        <f>IFERROR(DetteFrs[[#This Row],[Net à Payer]]-DetteFrs[[#This Row],[Montant Payé]],"")</f>
        <v>0</v>
      </c>
      <c r="K63" s="24">
        <v>45695</v>
      </c>
      <c r="L63" s="28" t="str">
        <f ca="1">IF(DetteFrs[Solde]=0,"",(TODAY()-DetteFrs[[#This Row],[Échéance]]))</f>
        <v/>
      </c>
      <c r="M63" s="22" t="str">
        <f ca="1">IF(DetteFrs[Retard]="","Payé",IF(DetteFrs[Retard]&lt;=0,"Non Echue",IF(DetteFrs[Retard]&lt;=30,"Echue [1;30]",IF(DetteFrs[Retard]&lt;=60,"Echue [31;60]",IF(DetteFrs[Retard]&lt;=90,"Echue [61;90]","Echue &gt; 90")))))</f>
        <v>Payé</v>
      </c>
      <c r="O63" s="2" t="str">
        <f>+Tableau3[[#This Row],[Mois]]</f>
        <v>février</v>
      </c>
      <c r="P63" s="2" t="s">
        <v>175</v>
      </c>
      <c r="U63" s="1">
        <f>IFERROR(MONTH(DetteFrs[Date Saisie]),"")</f>
        <v>2</v>
      </c>
      <c r="V63" s="1" t="str">
        <f>TEXT(DetteFrs[Date Saisie],"mmmm")</f>
        <v>février</v>
      </c>
      <c r="W63" s="1" t="str">
        <f>TEXT(DetteFrs[Date Saisie],"yyyy")</f>
        <v>2025</v>
      </c>
    </row>
    <row r="64" spans="3:23" ht="16.5" x14ac:dyDescent="0.25">
      <c r="C64" s="29">
        <v>45694</v>
      </c>
      <c r="D64" s="21">
        <v>7613848663</v>
      </c>
      <c r="E64" s="8" t="str">
        <f>IFERROR(VLOOKUP(DetteFrs[N°Tiers],Tableau5[[N°tiers]:[Fournisseur]],2,FALSE),"")</f>
        <v>MAERSK COTE D IVOIRE</v>
      </c>
      <c r="F64" s="23" t="str">
        <f>VLOOKUP(DetteFrs[Fournisseur],Tableau5[[Fournisseur]:[Catégorie]],2,FALSE)</f>
        <v>FRS METIERS</v>
      </c>
      <c r="G64" s="21">
        <v>4011100006</v>
      </c>
      <c r="H64" s="25">
        <v>247800</v>
      </c>
      <c r="I64" s="25">
        <f>IFERROR(VLOOKUP(DetteFrs[N°Facture],ReglFrs[],7,FALSE),"0")</f>
        <v>247800</v>
      </c>
      <c r="J64" s="25">
        <f>IFERROR(DetteFrs[[#This Row],[Net à Payer]]-DetteFrs[[#This Row],[Montant Payé]],"")</f>
        <v>0</v>
      </c>
      <c r="K64" s="24">
        <v>45695</v>
      </c>
      <c r="L64" s="28" t="str">
        <f ca="1">IF(DetteFrs[Solde]=0,"",(TODAY()-DetteFrs[[#This Row],[Échéance]]))</f>
        <v/>
      </c>
      <c r="M64" s="22" t="str">
        <f ca="1">IF(DetteFrs[Retard]="","Payé",IF(DetteFrs[Retard]&lt;=0,"Non Echue",IF(DetteFrs[Retard]&lt;=30,"Echue [1;30]",IF(DetteFrs[Retard]&lt;=60,"Echue [31;60]",IF(DetteFrs[Retard]&lt;=90,"Echue [61;90]","Echue &gt; 90")))))</f>
        <v>Payé</v>
      </c>
      <c r="O64" s="2" t="str">
        <f>+Tableau3[[#This Row],[Mois]]</f>
        <v>février</v>
      </c>
      <c r="P64" s="2" t="s">
        <v>175</v>
      </c>
      <c r="U64" s="1">
        <f>IFERROR(MONTH(DetteFrs[Date Saisie]),"")</f>
        <v>2</v>
      </c>
      <c r="V64" s="1" t="str">
        <f>TEXT(DetteFrs[Date Saisie],"mmmm")</f>
        <v>février</v>
      </c>
      <c r="W64" s="1" t="str">
        <f>TEXT(DetteFrs[Date Saisie],"yyyy")</f>
        <v>2025</v>
      </c>
    </row>
    <row r="65" spans="3:23" ht="16.5" x14ac:dyDescent="0.25">
      <c r="C65" s="29">
        <v>45694</v>
      </c>
      <c r="D65" s="21">
        <v>7613849146</v>
      </c>
      <c r="E65" s="8" t="str">
        <f>IFERROR(VLOOKUP(DetteFrs[N°Tiers],Tableau5[[N°tiers]:[Fournisseur]],2,FALSE),"")</f>
        <v>MAERSK COTE D IVOIRE</v>
      </c>
      <c r="F65" s="23" t="str">
        <f>VLOOKUP(DetteFrs[Fournisseur],Tableau5[[Fournisseur]:[Catégorie]],2,FALSE)</f>
        <v>FRS METIERS</v>
      </c>
      <c r="G65" s="21">
        <v>4011100006</v>
      </c>
      <c r="H65" s="25">
        <v>160480</v>
      </c>
      <c r="I65" s="25">
        <f>IFERROR(VLOOKUP(DetteFrs[N°Facture],ReglFrs[],7,FALSE),"0")</f>
        <v>160480</v>
      </c>
      <c r="J65" s="25">
        <f>IFERROR(DetteFrs[[#This Row],[Net à Payer]]-DetteFrs[[#This Row],[Montant Payé]],"")</f>
        <v>0</v>
      </c>
      <c r="K65" s="24">
        <v>45695</v>
      </c>
      <c r="L65" s="28" t="str">
        <f ca="1">IF(DetteFrs[Solde]=0,"",(TODAY()-DetteFrs[[#This Row],[Échéance]]))</f>
        <v/>
      </c>
      <c r="M65" s="22" t="str">
        <f ca="1">IF(DetteFrs[Retard]="","Payé",IF(DetteFrs[Retard]&lt;=0,"Non Echue",IF(DetteFrs[Retard]&lt;=30,"Echue [1;30]",IF(DetteFrs[Retard]&lt;=60,"Echue [31;60]",IF(DetteFrs[Retard]&lt;=90,"Echue [61;90]","Echue &gt; 90")))))</f>
        <v>Payé</v>
      </c>
      <c r="O65" s="2" t="str">
        <f>+Tableau3[[#This Row],[Mois]]</f>
        <v>février</v>
      </c>
      <c r="P65" s="2" t="s">
        <v>175</v>
      </c>
      <c r="U65" s="1">
        <f>IFERROR(MONTH(DetteFrs[Date Saisie]),"")</f>
        <v>2</v>
      </c>
      <c r="V65" s="1" t="str">
        <f>TEXT(DetteFrs[Date Saisie],"mmmm")</f>
        <v>février</v>
      </c>
      <c r="W65" s="1" t="str">
        <f>TEXT(DetteFrs[Date Saisie],"yyyy")</f>
        <v>2025</v>
      </c>
    </row>
    <row r="66" spans="3:23" ht="16.5" x14ac:dyDescent="0.25">
      <c r="C66" s="29">
        <v>45744</v>
      </c>
      <c r="D66" s="21" t="s">
        <v>154</v>
      </c>
      <c r="E66" s="8" t="str">
        <f>IFERROR(VLOOKUP(DetteFrs[N°Tiers],Tableau5[[N°tiers]:[Fournisseur]],2,FALSE),"")</f>
        <v>EBUR FIDUCIAIRE</v>
      </c>
      <c r="F66" s="23" t="str">
        <f>VLOOKUP(DetteFrs[Fournisseur],Tableau5[[Fournisseur]:[Catégorie]],2,FALSE)</f>
        <v>FRS HORS METIERS</v>
      </c>
      <c r="G66" s="21">
        <v>4011200001</v>
      </c>
      <c r="H66" s="25">
        <v>6250000</v>
      </c>
      <c r="I66" s="25" t="str">
        <f>IFERROR(VLOOKUP(DetteFrs[N°Facture],ReglFrs[],7,FALSE),"0")</f>
        <v>0</v>
      </c>
      <c r="J66" s="25">
        <f>IFERROR(DetteFrs[[#This Row],[Net à Payer]]-DetteFrs[[#This Row],[Montant Payé]],"")</f>
        <v>6250000</v>
      </c>
      <c r="K66" s="24">
        <v>45744</v>
      </c>
      <c r="L66" s="28">
        <f ca="1">IF(DetteFrs[Solde]=0,"",(TODAY()-DetteFrs[[#This Row],[Échéance]]))</f>
        <v>85</v>
      </c>
      <c r="M66" s="22" t="str">
        <f ca="1">IF(DetteFrs[Retard]="","Payé",IF(DetteFrs[Retard]&lt;=0,"Non Echue",IF(DetteFrs[Retard]&lt;=30,"Echue [1;30]",IF(DetteFrs[Retard]&lt;=60,"Echue [31;60]",IF(DetteFrs[Retard]&lt;=90,"Echue [61;90]","Echue &gt; 90")))))</f>
        <v>Echue [61;90]</v>
      </c>
      <c r="O66" s="2" t="str">
        <f>+Tableau3[[#This Row],[Mois]]</f>
        <v>mars</v>
      </c>
      <c r="P66" s="2" t="s">
        <v>175</v>
      </c>
      <c r="U66" s="1">
        <f>IFERROR(MONTH(DetteFrs[Date Saisie]),"")</f>
        <v>3</v>
      </c>
      <c r="V66" s="1" t="str">
        <f>TEXT(DetteFrs[Date Saisie],"mmmm")</f>
        <v>mars</v>
      </c>
      <c r="W66" s="1" t="str">
        <f>TEXT(DetteFrs[Date Saisie],"yyyy")</f>
        <v>2025</v>
      </c>
    </row>
    <row r="67" spans="3:23" ht="16.5" x14ac:dyDescent="0.25">
      <c r="C67" s="29">
        <v>45674</v>
      </c>
      <c r="D67" s="21" t="s">
        <v>155</v>
      </c>
      <c r="E67" s="8" t="str">
        <f>IFERROR(VLOOKUP(DetteFrs[N°Tiers],Tableau5[[N°tiers]:[Fournisseur]],2,FALSE),"")</f>
        <v>SCI YOKAMI</v>
      </c>
      <c r="F67" s="23" t="str">
        <f>VLOOKUP(DetteFrs[Fournisseur],Tableau5[[Fournisseur]:[Catégorie]],2,FALSE)</f>
        <v>FRS HORS METIERS</v>
      </c>
      <c r="G67" s="21">
        <v>4011200004</v>
      </c>
      <c r="H67" s="25">
        <v>1650000</v>
      </c>
      <c r="I67" s="25">
        <f>IFERROR(VLOOKUP(DetteFrs[N°Facture],ReglFrs[],7,FALSE),"0")</f>
        <v>1650000</v>
      </c>
      <c r="J67" s="25">
        <f>IFERROR(DetteFrs[[#This Row],[Net à Payer]]-DetteFrs[[#This Row],[Montant Payé]],"")</f>
        <v>0</v>
      </c>
      <c r="K67" s="24">
        <v>45667</v>
      </c>
      <c r="L67" s="28" t="str">
        <f ca="1">IF(DetteFrs[Solde]=0,"",(TODAY()-DetteFrs[[#This Row],[Échéance]]))</f>
        <v/>
      </c>
      <c r="M67" s="22" t="str">
        <f ca="1">IF(DetteFrs[Retard]="","Payé",IF(DetteFrs[Retard]&lt;=0,"Non Echue",IF(DetteFrs[Retard]&lt;=30,"Echue [1;30]",IF(DetteFrs[Retard]&lt;=60,"Echue [31;60]",IF(DetteFrs[Retard]&lt;=90,"Echue [61;90]","Echue &gt; 90")))))</f>
        <v>Payé</v>
      </c>
      <c r="O67" s="2" t="str">
        <f>+Tableau3[[#This Row],[Mois]]</f>
        <v>janvier</v>
      </c>
      <c r="P67" s="2" t="s">
        <v>175</v>
      </c>
      <c r="U67" s="1">
        <f>IFERROR(MONTH(DetteFrs[Date Saisie]),"")</f>
        <v>1</v>
      </c>
      <c r="V67" s="1" t="str">
        <f>TEXT(DetteFrs[Date Saisie],"mmmm")</f>
        <v>janvier</v>
      </c>
      <c r="W67" s="1" t="str">
        <f>TEXT(DetteFrs[Date Saisie],"yyyy")</f>
        <v>2025</v>
      </c>
    </row>
    <row r="68" spans="3:23" ht="16.5" x14ac:dyDescent="0.25">
      <c r="C68" s="29">
        <v>45698</v>
      </c>
      <c r="D68" s="21" t="s">
        <v>156</v>
      </c>
      <c r="E68" s="8" t="str">
        <f>IFERROR(VLOOKUP(DetteFrs[N°Tiers],Tableau5[[N°tiers]:[Fournisseur]],2,FALSE),"")</f>
        <v>SUNU</v>
      </c>
      <c r="F68" s="23" t="str">
        <f>VLOOKUP(DetteFrs[Fournisseur],Tableau5[[Fournisseur]:[Catégorie]],2,FALSE)</f>
        <v>FRS HORS METIERS</v>
      </c>
      <c r="G68" s="21">
        <v>4011200007</v>
      </c>
      <c r="H68" s="25">
        <v>37283204</v>
      </c>
      <c r="I68" s="25">
        <f>IFERROR(VLOOKUP(DetteFrs[N°Facture],ReglFrs[],7,FALSE),"0")</f>
        <v>37283204</v>
      </c>
      <c r="J68" s="25">
        <f>IFERROR(DetteFrs[[#This Row],[Net à Payer]]-DetteFrs[[#This Row],[Montant Payé]],"")</f>
        <v>0</v>
      </c>
      <c r="K68" s="24">
        <v>45717</v>
      </c>
      <c r="L68" s="28" t="str">
        <f ca="1">IF(DetteFrs[Solde]=0,"",(TODAY()-DetteFrs[[#This Row],[Échéance]]))</f>
        <v/>
      </c>
      <c r="M68" s="22" t="str">
        <f ca="1">IF(DetteFrs[Retard]="","Payé",IF(DetteFrs[Retard]&lt;=0,"Non Echue",IF(DetteFrs[Retard]&lt;=30,"Echue [1;30]",IF(DetteFrs[Retard]&lt;=60,"Echue [31;60]",IF(DetteFrs[Retard]&lt;=90,"Echue [61;90]","Echue &gt; 90")))))</f>
        <v>Payé</v>
      </c>
      <c r="O68" s="2" t="str">
        <f>+Tableau3[[#This Row],[Mois]]</f>
        <v>février</v>
      </c>
      <c r="P68" s="2" t="s">
        <v>175</v>
      </c>
      <c r="U68" s="1">
        <f>IFERROR(MONTH(DetteFrs[Date Saisie]),"")</f>
        <v>2</v>
      </c>
      <c r="V68" s="1" t="str">
        <f>TEXT(DetteFrs[Date Saisie],"mmmm")</f>
        <v>février</v>
      </c>
      <c r="W68" s="1" t="str">
        <f>TEXT(DetteFrs[Date Saisie],"yyyy")</f>
        <v>2025</v>
      </c>
    </row>
    <row r="69" spans="3:23" ht="16.5" x14ac:dyDescent="0.25">
      <c r="C69" s="29">
        <v>45658</v>
      </c>
      <c r="D69" s="21">
        <v>8742835012025</v>
      </c>
      <c r="E69" s="8" t="str">
        <f>IFERROR(VLOOKUP(DetteFrs[N°Tiers],Tableau5[[N°tiers]:[Fournisseur]],2,FALSE),"")</f>
        <v>ORANGE COTE D IVOIRE</v>
      </c>
      <c r="F69" s="23" t="str">
        <f>VLOOKUP(DetteFrs[Fournisseur],Tableau5[[Fournisseur]:[Catégorie]],2,FALSE)</f>
        <v>FRS HORS METIERS</v>
      </c>
      <c r="G69" s="21">
        <v>4011200013</v>
      </c>
      <c r="H69" s="25">
        <v>85000</v>
      </c>
      <c r="I69" s="25">
        <f>IFERROR(VLOOKUP(DetteFrs[N°Facture],ReglFrs[],7,FALSE),"0")</f>
        <v>85000</v>
      </c>
      <c r="J69" s="25">
        <f>IFERROR(DetteFrs[[#This Row],[Net à Payer]]-DetteFrs[[#This Row],[Montant Payé]],"")</f>
        <v>0</v>
      </c>
      <c r="K69" s="24">
        <v>45682</v>
      </c>
      <c r="L69" s="28" t="str">
        <f ca="1">IF(DetteFrs[Solde]=0,"",(TODAY()-DetteFrs[[#This Row],[Échéance]]))</f>
        <v/>
      </c>
      <c r="M69" s="22" t="str">
        <f ca="1">IF(DetteFrs[Retard]="","Payé",IF(DetteFrs[Retard]&lt;=0,"Non Echue",IF(DetteFrs[Retard]&lt;=30,"Echue [1;30]",IF(DetteFrs[Retard]&lt;=60,"Echue [31;60]",IF(DetteFrs[Retard]&lt;=90,"Echue [61;90]","Echue &gt; 90")))))</f>
        <v>Payé</v>
      </c>
      <c r="O69" s="2" t="str">
        <f>+Tableau3[[#This Row],[Mois]]</f>
        <v>janvier</v>
      </c>
      <c r="P69" s="2" t="s">
        <v>175</v>
      </c>
      <c r="U69" s="1">
        <f>IFERROR(MONTH(DetteFrs[Date Saisie]),"")</f>
        <v>1</v>
      </c>
      <c r="V69" s="1" t="str">
        <f>TEXT(DetteFrs[Date Saisie],"mmmm")</f>
        <v>janvier</v>
      </c>
      <c r="W69" s="1" t="str">
        <f>TEXT(DetteFrs[Date Saisie],"yyyy")</f>
        <v>2025</v>
      </c>
    </row>
    <row r="70" spans="3:23" ht="16.5" x14ac:dyDescent="0.25">
      <c r="C70" s="29">
        <v>45677</v>
      </c>
      <c r="D70" s="21">
        <v>86646012025</v>
      </c>
      <c r="E70" s="8" t="str">
        <f>IFERROR(VLOOKUP(DetteFrs[N°Tiers],Tableau5[[N°tiers]:[Fournisseur]],2,FALSE),"")</f>
        <v>ORANGE COTE D IVOIRE</v>
      </c>
      <c r="F70" s="23" t="str">
        <f>VLOOKUP(DetteFrs[Fournisseur],Tableau5[[Fournisseur]:[Catégorie]],2,FALSE)</f>
        <v>FRS HORS METIERS</v>
      </c>
      <c r="G70" s="21">
        <v>4011200013</v>
      </c>
      <c r="H70" s="25">
        <v>118999</v>
      </c>
      <c r="I70" s="25">
        <f>IFERROR(VLOOKUP(DetteFrs[N°Facture],ReglFrs[],7,FALSE),"0")</f>
        <v>118999</v>
      </c>
      <c r="J70" s="25">
        <f>IFERROR(DetteFrs[[#This Row],[Net à Payer]]-DetteFrs[[#This Row],[Montant Payé]],"")</f>
        <v>0</v>
      </c>
      <c r="K70" s="24">
        <v>45682</v>
      </c>
      <c r="L70" s="28" t="str">
        <f ca="1">IF(DetteFrs[Solde]=0,"",(TODAY()-DetteFrs[[#This Row],[Échéance]]))</f>
        <v/>
      </c>
      <c r="M70" s="22" t="str">
        <f ca="1">IF(DetteFrs[Retard]="","Payé",IF(DetteFrs[Retard]&lt;=0,"Non Echue",IF(DetteFrs[Retard]&lt;=30,"Echue [1;30]",IF(DetteFrs[Retard]&lt;=60,"Echue [31;60]",IF(DetteFrs[Retard]&lt;=90,"Echue [61;90]","Echue &gt; 90")))))</f>
        <v>Payé</v>
      </c>
      <c r="O70" s="2" t="str">
        <f>+Tableau3[[#This Row],[Mois]]</f>
        <v>janvier</v>
      </c>
      <c r="P70" s="2" t="s">
        <v>175</v>
      </c>
      <c r="U70" s="1">
        <f>IFERROR(MONTH(DetteFrs[Date Saisie]),"")</f>
        <v>1</v>
      </c>
      <c r="V70" s="1" t="str">
        <f>TEXT(DetteFrs[Date Saisie],"mmmm")</f>
        <v>janvier</v>
      </c>
      <c r="W70" s="1" t="str">
        <f>TEXT(DetteFrs[Date Saisie],"yyyy")</f>
        <v>2025</v>
      </c>
    </row>
    <row r="71" spans="3:23" ht="16.5" x14ac:dyDescent="0.25">
      <c r="C71" s="29">
        <v>45677</v>
      </c>
      <c r="D71" s="21">
        <v>8668567012025</v>
      </c>
      <c r="E71" s="8" t="str">
        <f>IFERROR(VLOOKUP(DetteFrs[N°Tiers],Tableau5[[N°tiers]:[Fournisseur]],2,FALSE),"")</f>
        <v>ORANGE COTE D IVOIRE</v>
      </c>
      <c r="F71" s="23" t="str">
        <f>VLOOKUP(DetteFrs[Fournisseur],Tableau5[[Fournisseur]:[Catégorie]],2,FALSE)</f>
        <v>FRS HORS METIERS</v>
      </c>
      <c r="G71" s="21">
        <v>4011200013</v>
      </c>
      <c r="H71" s="25">
        <v>56398</v>
      </c>
      <c r="I71" s="25">
        <f>IFERROR(VLOOKUP(DetteFrs[N°Facture],ReglFrs[],7,FALSE),"0")</f>
        <v>56398</v>
      </c>
      <c r="J71" s="25">
        <f>IFERROR(DetteFrs[[#This Row],[Net à Payer]]-DetteFrs[[#This Row],[Montant Payé]],"")</f>
        <v>0</v>
      </c>
      <c r="K71" s="24">
        <v>45682</v>
      </c>
      <c r="L71" s="28" t="str">
        <f ca="1">IF(DetteFrs[Solde]=0,"",(TODAY()-DetteFrs[[#This Row],[Échéance]]))</f>
        <v/>
      </c>
      <c r="M71" s="22" t="str">
        <f ca="1">IF(DetteFrs[Retard]="","Payé",IF(DetteFrs[Retard]&lt;=0,"Non Echue",IF(DetteFrs[Retard]&lt;=30,"Echue [1;30]",IF(DetteFrs[Retard]&lt;=60,"Echue [31;60]",IF(DetteFrs[Retard]&lt;=90,"Echue [61;90]","Echue &gt; 90")))))</f>
        <v>Payé</v>
      </c>
      <c r="O71" s="2" t="str">
        <f>+Tableau3[[#This Row],[Mois]]</f>
        <v>janvier</v>
      </c>
      <c r="P71" s="2" t="s">
        <v>175</v>
      </c>
      <c r="U71" s="1">
        <f>IFERROR(MONTH(DetteFrs[Date Saisie]),"")</f>
        <v>1</v>
      </c>
      <c r="V71" s="1" t="str">
        <f>TEXT(DetteFrs[Date Saisie],"mmmm")</f>
        <v>janvier</v>
      </c>
      <c r="W71" s="1" t="str">
        <f>TEXT(DetteFrs[Date Saisie],"yyyy")</f>
        <v>2025</v>
      </c>
    </row>
    <row r="72" spans="3:23" ht="16.5" x14ac:dyDescent="0.25">
      <c r="C72" s="29">
        <v>45677</v>
      </c>
      <c r="D72" s="21">
        <v>8668435012025</v>
      </c>
      <c r="E72" s="8" t="str">
        <f>IFERROR(VLOOKUP(DetteFrs[N°Tiers],Tableau5[[N°tiers]:[Fournisseur]],2,FALSE),"")</f>
        <v>ORANGE COTE D IVOIRE</v>
      </c>
      <c r="F72" s="23" t="str">
        <f>VLOOKUP(DetteFrs[Fournisseur],Tableau5[[Fournisseur]:[Catégorie]],2,FALSE)</f>
        <v>FRS HORS METIERS</v>
      </c>
      <c r="G72" s="21">
        <v>4011200013</v>
      </c>
      <c r="H72" s="25">
        <v>30763</v>
      </c>
      <c r="I72" s="25">
        <f>IFERROR(VLOOKUP(DetteFrs[N°Facture],ReglFrs[],7,FALSE),"0")</f>
        <v>30763</v>
      </c>
      <c r="J72" s="25">
        <f>IFERROR(DetteFrs[[#This Row],[Net à Payer]]-DetteFrs[[#This Row],[Montant Payé]],"")</f>
        <v>0</v>
      </c>
      <c r="K72" s="24">
        <v>45682</v>
      </c>
      <c r="L72" s="28" t="str">
        <f ca="1">IF(DetteFrs[Solde]=0,"",(TODAY()-DetteFrs[[#This Row],[Échéance]]))</f>
        <v/>
      </c>
      <c r="M72" s="22" t="str">
        <f ca="1">IF(DetteFrs[Retard]="","Payé",IF(DetteFrs[Retard]&lt;=0,"Non Echue",IF(DetteFrs[Retard]&lt;=30,"Echue [1;30]",IF(DetteFrs[Retard]&lt;=60,"Echue [31;60]",IF(DetteFrs[Retard]&lt;=90,"Echue [61;90]","Echue &gt; 90")))))</f>
        <v>Payé</v>
      </c>
      <c r="O72" s="2" t="str">
        <f>+Tableau3[[#This Row],[Mois]]</f>
        <v>janvier</v>
      </c>
      <c r="P72" s="2" t="s">
        <v>175</v>
      </c>
      <c r="U72" s="1">
        <f>IFERROR(MONTH(DetteFrs[Date Saisie]),"")</f>
        <v>1</v>
      </c>
      <c r="V72" s="1" t="str">
        <f>TEXT(DetteFrs[Date Saisie],"mmmm")</f>
        <v>janvier</v>
      </c>
      <c r="W72" s="1" t="str">
        <f>TEXT(DetteFrs[Date Saisie],"yyyy")</f>
        <v>2025</v>
      </c>
    </row>
    <row r="73" spans="3:23" ht="16.5" x14ac:dyDescent="0.25">
      <c r="C73" s="29">
        <v>45677</v>
      </c>
      <c r="D73" s="21">
        <v>8714185012025</v>
      </c>
      <c r="E73" s="8" t="str">
        <f>IFERROR(VLOOKUP(DetteFrs[N°Tiers],Tableau5[[N°tiers]:[Fournisseur]],2,FALSE),"")</f>
        <v>ORANGE COTE D IVOIRE</v>
      </c>
      <c r="F73" s="23" t="str">
        <f>VLOOKUP(DetteFrs[Fournisseur],Tableau5[[Fournisseur]:[Catégorie]],2,FALSE)</f>
        <v>FRS HORS METIERS</v>
      </c>
      <c r="G73" s="21">
        <v>4011200013</v>
      </c>
      <c r="H73" s="25">
        <v>25000</v>
      </c>
      <c r="I73" s="25">
        <f>IFERROR(VLOOKUP(DetteFrs[N°Facture],ReglFrs[],7,FALSE),"0")</f>
        <v>25000</v>
      </c>
      <c r="J73" s="25">
        <f>IFERROR(DetteFrs[[#This Row],[Net à Payer]]-DetteFrs[[#This Row],[Montant Payé]],"")</f>
        <v>0</v>
      </c>
      <c r="K73" s="24">
        <v>45682</v>
      </c>
      <c r="L73" s="28" t="str">
        <f ca="1">IF(DetteFrs[Solde]=0,"",(TODAY()-DetteFrs[[#This Row],[Échéance]]))</f>
        <v/>
      </c>
      <c r="M73" s="22" t="str">
        <f ca="1">IF(DetteFrs[Retard]="","Payé",IF(DetteFrs[Retard]&lt;=0,"Non Echue",IF(DetteFrs[Retard]&lt;=30,"Echue [1;30]",IF(DetteFrs[Retard]&lt;=60,"Echue [31;60]",IF(DetteFrs[Retard]&lt;=90,"Echue [61;90]","Echue &gt; 90")))))</f>
        <v>Payé</v>
      </c>
      <c r="O73" s="2" t="str">
        <f>+Tableau3[[#This Row],[Mois]]</f>
        <v>janvier</v>
      </c>
      <c r="P73" s="2" t="s">
        <v>175</v>
      </c>
      <c r="U73" s="1">
        <f>IFERROR(MONTH(DetteFrs[Date Saisie]),"")</f>
        <v>1</v>
      </c>
      <c r="V73" s="1" t="str">
        <f>TEXT(DetteFrs[Date Saisie],"mmmm")</f>
        <v>janvier</v>
      </c>
      <c r="W73" s="1" t="str">
        <f>TEXT(DetteFrs[Date Saisie],"yyyy")</f>
        <v>2025</v>
      </c>
    </row>
    <row r="74" spans="3:23" ht="16.5" x14ac:dyDescent="0.25">
      <c r="C74" s="29">
        <v>45677</v>
      </c>
      <c r="D74" s="21" t="s">
        <v>157</v>
      </c>
      <c r="E74" s="8" t="str">
        <f>IFERROR(VLOOKUP(DetteFrs[N°Tiers],Tableau5[[N°tiers]:[Fournisseur]],2,FALSE),"")</f>
        <v>ORANGE COTE D IVOIRE</v>
      </c>
      <c r="F74" s="23" t="str">
        <f>VLOOKUP(DetteFrs[Fournisseur],Tableau5[[Fournisseur]:[Catégorie]],2,FALSE)</f>
        <v>FRS HORS METIERS</v>
      </c>
      <c r="G74" s="21">
        <v>4011200013</v>
      </c>
      <c r="H74" s="25">
        <v>12100</v>
      </c>
      <c r="I74" s="25">
        <f>IFERROR(VLOOKUP(DetteFrs[N°Facture],ReglFrs[],7,FALSE),"0")</f>
        <v>12100</v>
      </c>
      <c r="J74" s="25">
        <f>IFERROR(DetteFrs[[#This Row],[Net à Payer]]-DetteFrs[[#This Row],[Montant Payé]],"")</f>
        <v>0</v>
      </c>
      <c r="K74" s="24">
        <v>45682</v>
      </c>
      <c r="L74" s="28" t="str">
        <f ca="1">IF(DetteFrs[Solde]=0,"",(TODAY()-DetteFrs[[#This Row],[Échéance]]))</f>
        <v/>
      </c>
      <c r="M74" s="22" t="str">
        <f ca="1">IF(DetteFrs[Retard]="","Payé",IF(DetteFrs[Retard]&lt;=0,"Non Echue",IF(DetteFrs[Retard]&lt;=30,"Echue [1;30]",IF(DetteFrs[Retard]&lt;=60,"Echue [31;60]",IF(DetteFrs[Retard]&lt;=90,"Echue [61;90]","Echue &gt; 90")))))</f>
        <v>Payé</v>
      </c>
      <c r="O74" s="2" t="str">
        <f>+Tableau3[[#This Row],[Mois]]</f>
        <v>janvier</v>
      </c>
      <c r="P74" s="2" t="s">
        <v>175</v>
      </c>
      <c r="U74" s="1">
        <f>IFERROR(MONTH(DetteFrs[Date Saisie]),"")</f>
        <v>1</v>
      </c>
      <c r="V74" s="1" t="str">
        <f>TEXT(DetteFrs[Date Saisie],"mmmm")</f>
        <v>janvier</v>
      </c>
      <c r="W74" s="1" t="str">
        <f>TEXT(DetteFrs[Date Saisie],"yyyy")</f>
        <v>2025</v>
      </c>
    </row>
    <row r="75" spans="3:23" ht="16.5" x14ac:dyDescent="0.25">
      <c r="C75" s="29">
        <v>45677</v>
      </c>
      <c r="D75" s="21">
        <v>877866012025</v>
      </c>
      <c r="E75" s="8" t="str">
        <f>IFERROR(VLOOKUP(DetteFrs[N°Tiers],Tableau5[[N°tiers]:[Fournisseur]],2,FALSE),"")</f>
        <v>ORANGE COTE D IVOIRE</v>
      </c>
      <c r="F75" s="23" t="str">
        <f>VLOOKUP(DetteFrs[Fournisseur],Tableau5[[Fournisseur]:[Catégorie]],2,FALSE)</f>
        <v>FRS HORS METIERS</v>
      </c>
      <c r="G75" s="21">
        <v>4011200013</v>
      </c>
      <c r="H75" s="25">
        <v>76905</v>
      </c>
      <c r="I75" s="25">
        <f>IFERROR(VLOOKUP(DetteFrs[N°Facture],ReglFrs[],7,FALSE),"0")</f>
        <v>76905</v>
      </c>
      <c r="J75" s="25">
        <f>IFERROR(DetteFrs[[#This Row],[Net à Payer]]-DetteFrs[[#This Row],[Montant Payé]],"")</f>
        <v>0</v>
      </c>
      <c r="K75" s="24">
        <v>45651</v>
      </c>
      <c r="L75" s="28" t="str">
        <f ca="1">IF(DetteFrs[Solde]=0,"",(TODAY()-DetteFrs[[#This Row],[Échéance]]))</f>
        <v/>
      </c>
      <c r="M75" s="22" t="str">
        <f ca="1">IF(DetteFrs[Retard]="","Payé",IF(DetteFrs[Retard]&lt;=0,"Non Echue",IF(DetteFrs[Retard]&lt;=30,"Echue [1;30]",IF(DetteFrs[Retard]&lt;=60,"Echue [31;60]",IF(DetteFrs[Retard]&lt;=90,"Echue [61;90]","Echue &gt; 90")))))</f>
        <v>Payé</v>
      </c>
      <c r="O75" s="2" t="str">
        <f>+Tableau3[[#This Row],[Mois]]</f>
        <v>janvier</v>
      </c>
      <c r="P75" s="2" t="s">
        <v>175</v>
      </c>
      <c r="U75" s="1">
        <f>IFERROR(MONTH(DetteFrs[Date Saisie]),"")</f>
        <v>1</v>
      </c>
      <c r="V75" s="1" t="str">
        <f>TEXT(DetteFrs[Date Saisie],"mmmm")</f>
        <v>janvier</v>
      </c>
      <c r="W75" s="1" t="str">
        <f>TEXT(DetteFrs[Date Saisie],"yyyy")</f>
        <v>2025</v>
      </c>
    </row>
    <row r="76" spans="3:23" ht="16.5" x14ac:dyDescent="0.25">
      <c r="C76" s="29">
        <v>45677</v>
      </c>
      <c r="D76" s="21">
        <v>8777865012025</v>
      </c>
      <c r="E76" s="8" t="str">
        <f>IFERROR(VLOOKUP(DetteFrs[N°Tiers],Tableau5[[N°tiers]:[Fournisseur]],2,FALSE),"")</f>
        <v>ORANGE COTE D IVOIRE</v>
      </c>
      <c r="F76" s="23" t="str">
        <f>VLOOKUP(DetteFrs[Fournisseur],Tableau5[[Fournisseur]:[Catégorie]],2,FALSE)</f>
        <v>FRS HORS METIERS</v>
      </c>
      <c r="G76" s="21">
        <v>4011200013</v>
      </c>
      <c r="H76" s="25">
        <v>2168755</v>
      </c>
      <c r="I76" s="25">
        <f>IFERROR(VLOOKUP(DetteFrs[N°Facture],ReglFrs[],7,FALSE),"0")</f>
        <v>2168755</v>
      </c>
      <c r="J76" s="25">
        <f>IFERROR(DetteFrs[[#This Row],[Net à Payer]]-DetteFrs[[#This Row],[Montant Payé]],"")</f>
        <v>0</v>
      </c>
      <c r="K76" s="24">
        <v>45682</v>
      </c>
      <c r="L76" s="28" t="str">
        <f ca="1">IF(DetteFrs[Solde]=0,"",(TODAY()-DetteFrs[[#This Row],[Échéance]]))</f>
        <v/>
      </c>
      <c r="M76" s="22" t="str">
        <f ca="1">IF(DetteFrs[Retard]="","Payé",IF(DetteFrs[Retard]&lt;=0,"Non Echue",IF(DetteFrs[Retard]&lt;=30,"Echue [1;30]",IF(DetteFrs[Retard]&lt;=60,"Echue [31;60]",IF(DetteFrs[Retard]&lt;=90,"Echue [61;90]","Echue &gt; 90")))))</f>
        <v>Payé</v>
      </c>
      <c r="O76" s="2" t="str">
        <f>+Tableau3[[#This Row],[Mois]]</f>
        <v>janvier</v>
      </c>
      <c r="P76" s="2" t="s">
        <v>175</v>
      </c>
      <c r="U76" s="1">
        <f>IFERROR(MONTH(DetteFrs[Date Saisie]),"")</f>
        <v>1</v>
      </c>
      <c r="V76" s="1" t="str">
        <f>TEXT(DetteFrs[Date Saisie],"mmmm")</f>
        <v>janvier</v>
      </c>
      <c r="W76" s="1" t="str">
        <f>TEXT(DetteFrs[Date Saisie],"yyyy")</f>
        <v>2025</v>
      </c>
    </row>
    <row r="77" spans="3:23" ht="16.5" x14ac:dyDescent="0.25">
      <c r="C77" s="29">
        <v>45757</v>
      </c>
      <c r="D77" s="21">
        <v>9008457042025</v>
      </c>
      <c r="E77" s="8" t="str">
        <f>IFERROR(VLOOKUP(DetteFrs[N°Tiers],Tableau5[[N°tiers]:[Fournisseur]],2,FALSE),"")</f>
        <v>ORANGE COTE D IVOIRE</v>
      </c>
      <c r="F77" s="23" t="str">
        <f>VLOOKUP(DetteFrs[Fournisseur],Tableau5[[Fournisseur]:[Catégorie]],2,FALSE)</f>
        <v>FRS HORS METIERS</v>
      </c>
      <c r="G77" s="21">
        <v>4011200013</v>
      </c>
      <c r="H77" s="25">
        <v>118999</v>
      </c>
      <c r="I77" s="25">
        <f>IFERROR(VLOOKUP(DetteFrs[N°Facture],ReglFrs[],7,FALSE),"0")</f>
        <v>118999</v>
      </c>
      <c r="J77" s="25">
        <f>IFERROR(DetteFrs[[#This Row],[Net à Payer]]-DetteFrs[[#This Row],[Montant Payé]],"")</f>
        <v>0</v>
      </c>
      <c r="K77" s="24">
        <v>45757</v>
      </c>
      <c r="L77" s="28" t="str">
        <f ca="1">IF(DetteFrs[Solde]=0,"",(TODAY()-DetteFrs[[#This Row],[Échéance]]))</f>
        <v/>
      </c>
      <c r="M77" s="22" t="str">
        <f ca="1">IF(DetteFrs[Retard]="","Payé",IF(DetteFrs[Retard]&lt;=0,"Non Echue",IF(DetteFrs[Retard]&lt;=30,"Echue [1;30]",IF(DetteFrs[Retard]&lt;=60,"Echue [31;60]",IF(DetteFrs[Retard]&lt;=90,"Echue [61;90]","Echue &gt; 90")))))</f>
        <v>Payé</v>
      </c>
      <c r="O77" s="2" t="str">
        <f>+Tableau3[[#This Row],[Mois]]</f>
        <v>avril</v>
      </c>
      <c r="P77" s="2" t="s">
        <v>175</v>
      </c>
      <c r="U77" s="1">
        <f>IFERROR(MONTH(DetteFrs[Date Saisie]),"")</f>
        <v>4</v>
      </c>
      <c r="V77" s="1" t="str">
        <f>TEXT(DetteFrs[Date Saisie],"mmmm")</f>
        <v>avril</v>
      </c>
      <c r="W77" s="1" t="str">
        <f>TEXT(DetteFrs[Date Saisie],"yyyy")</f>
        <v>2025</v>
      </c>
    </row>
    <row r="78" spans="3:23" ht="16.5" x14ac:dyDescent="0.25">
      <c r="C78" s="29">
        <v>45757</v>
      </c>
      <c r="D78" s="21" t="s">
        <v>158</v>
      </c>
      <c r="E78" s="8" t="str">
        <f>IFERROR(VLOOKUP(DetteFrs[N°Tiers],Tableau5[[N°tiers]:[Fournisseur]],2,FALSE),"")</f>
        <v>ORANGE COTE D IVOIRE</v>
      </c>
      <c r="F78" s="23" t="str">
        <f>VLOOKUP(DetteFrs[Fournisseur],Tableau5[[Fournisseur]:[Catégorie]],2,FALSE)</f>
        <v>FRS HORS METIERS</v>
      </c>
      <c r="G78" s="21">
        <v>4011200013</v>
      </c>
      <c r="H78" s="25">
        <v>12100</v>
      </c>
      <c r="I78" s="25">
        <f>IFERROR(VLOOKUP(DetteFrs[N°Facture],ReglFrs[],7,FALSE),"0")</f>
        <v>12100</v>
      </c>
      <c r="J78" s="25">
        <f>IFERROR(DetteFrs[[#This Row],[Net à Payer]]-DetteFrs[[#This Row],[Montant Payé]],"")</f>
        <v>0</v>
      </c>
      <c r="K78" s="24">
        <v>45757</v>
      </c>
      <c r="L78" s="28" t="str">
        <f ca="1">IF(DetteFrs[Solde]=0,"",(TODAY()-DetteFrs[[#This Row],[Échéance]]))</f>
        <v/>
      </c>
      <c r="M78" s="22" t="str">
        <f ca="1">IF(DetteFrs[Retard]="","Payé",IF(DetteFrs[Retard]&lt;=0,"Non Echue",IF(DetteFrs[Retard]&lt;=30,"Echue [1;30]",IF(DetteFrs[Retard]&lt;=60,"Echue [31;60]",IF(DetteFrs[Retard]&lt;=90,"Echue [61;90]","Echue &gt; 90")))))</f>
        <v>Payé</v>
      </c>
      <c r="O78" s="2" t="str">
        <f>+Tableau3[[#This Row],[Mois]]</f>
        <v>avril</v>
      </c>
      <c r="P78" s="2" t="s">
        <v>175</v>
      </c>
      <c r="U78" s="1">
        <f>IFERROR(MONTH(DetteFrs[Date Saisie]),"")</f>
        <v>4</v>
      </c>
      <c r="V78" s="1" t="str">
        <f>TEXT(DetteFrs[Date Saisie],"mmmm")</f>
        <v>avril</v>
      </c>
      <c r="W78" s="1" t="str">
        <f>TEXT(DetteFrs[Date Saisie],"yyyy")</f>
        <v>2025</v>
      </c>
    </row>
    <row r="79" spans="3:23" ht="16.5" x14ac:dyDescent="0.25">
      <c r="C79" s="29">
        <v>45744</v>
      </c>
      <c r="D79" s="21">
        <v>30336</v>
      </c>
      <c r="E79" s="8" t="str">
        <f>IFERROR(VLOOKUP(DetteFrs[N°Tiers],Tableau5[[N°tiers]:[Fournisseur]],2,FALSE),"")</f>
        <v>CCIS</v>
      </c>
      <c r="F79" s="23" t="str">
        <f>VLOOKUP(DetteFrs[Fournisseur],Tableau5[[Fournisseur]:[Catégorie]],2,FALSE)</f>
        <v>FRS METIERS</v>
      </c>
      <c r="G79" s="21">
        <v>4011100499</v>
      </c>
      <c r="H79" s="25">
        <v>50000</v>
      </c>
      <c r="I79" s="25">
        <f>IFERROR(VLOOKUP(DetteFrs[N°Facture],ReglFrs[],7,FALSE),"0")</f>
        <v>50000</v>
      </c>
      <c r="J79" s="25">
        <f>IFERROR(DetteFrs[[#This Row],[Net à Payer]]-DetteFrs[[#This Row],[Montant Payé]],"")</f>
        <v>0</v>
      </c>
      <c r="K79" s="24">
        <v>45744</v>
      </c>
      <c r="L79" s="28" t="str">
        <f ca="1">IF(DetteFrs[Solde]=0,"",(TODAY()-DetteFrs[[#This Row],[Échéance]]))</f>
        <v/>
      </c>
      <c r="M79" s="22" t="str">
        <f ca="1">IF(DetteFrs[Retard]="","Payé",IF(DetteFrs[Retard]&lt;=0,"Non Echue",IF(DetteFrs[Retard]&lt;=30,"Echue [1;30]",IF(DetteFrs[Retard]&lt;=60,"Echue [31;60]",IF(DetteFrs[Retard]&lt;=90,"Echue [61;90]","Echue &gt; 90")))))</f>
        <v>Payé</v>
      </c>
      <c r="O79" s="2" t="str">
        <f>+Tableau3[[#This Row],[Mois]]</f>
        <v>mars</v>
      </c>
      <c r="P79" s="2" t="s">
        <v>175</v>
      </c>
      <c r="U79" s="1">
        <f>IFERROR(MONTH(DetteFrs[Date Saisie]),"")</f>
        <v>3</v>
      </c>
      <c r="V79" s="1" t="str">
        <f>TEXT(DetteFrs[Date Saisie],"mmmm")</f>
        <v>mars</v>
      </c>
      <c r="W79" s="1" t="str">
        <f>TEXT(DetteFrs[Date Saisie],"yyyy")</f>
        <v>2025</v>
      </c>
    </row>
    <row r="80" spans="3:23" ht="16.5" x14ac:dyDescent="0.25">
      <c r="C80" s="29">
        <v>45744</v>
      </c>
      <c r="D80" s="21">
        <v>30373</v>
      </c>
      <c r="E80" s="8" t="str">
        <f>IFERROR(VLOOKUP(DetteFrs[N°Tiers],Tableau5[[N°tiers]:[Fournisseur]],2,FALSE),"")</f>
        <v>CCIS</v>
      </c>
      <c r="F80" s="23" t="str">
        <f>VLOOKUP(DetteFrs[Fournisseur],Tableau5[[Fournisseur]:[Catégorie]],2,FALSE)</f>
        <v>FRS METIERS</v>
      </c>
      <c r="G80" s="21">
        <v>4011100499</v>
      </c>
      <c r="H80" s="25">
        <v>197500</v>
      </c>
      <c r="I80" s="25">
        <f>IFERROR(VLOOKUP(DetteFrs[N°Facture],ReglFrs[],7,FALSE),"0")</f>
        <v>197500</v>
      </c>
      <c r="J80" s="25">
        <f>IFERROR(DetteFrs[[#This Row],[Net à Payer]]-DetteFrs[[#This Row],[Montant Payé]],"")</f>
        <v>0</v>
      </c>
      <c r="K80" s="24">
        <v>45744</v>
      </c>
      <c r="L80" s="28" t="str">
        <f ca="1">IF(DetteFrs[Solde]=0,"",(TODAY()-DetteFrs[[#This Row],[Échéance]]))</f>
        <v/>
      </c>
      <c r="M80" s="22" t="str">
        <f ca="1">IF(DetteFrs[Retard]="","Payé",IF(DetteFrs[Retard]&lt;=0,"Non Echue",IF(DetteFrs[Retard]&lt;=30,"Echue [1;30]",IF(DetteFrs[Retard]&lt;=60,"Echue [31;60]",IF(DetteFrs[Retard]&lt;=90,"Echue [61;90]","Echue &gt; 90")))))</f>
        <v>Payé</v>
      </c>
      <c r="O80" s="2" t="str">
        <f>+Tableau3[[#This Row],[Mois]]</f>
        <v>mars</v>
      </c>
      <c r="P80" s="2" t="s">
        <v>175</v>
      </c>
      <c r="U80" s="1">
        <f>IFERROR(MONTH(DetteFrs[Date Saisie]),"")</f>
        <v>3</v>
      </c>
      <c r="V80" s="1" t="str">
        <f>TEXT(DetteFrs[Date Saisie],"mmmm")</f>
        <v>mars</v>
      </c>
      <c r="W80" s="1" t="str">
        <f>TEXT(DetteFrs[Date Saisie],"yyyy")</f>
        <v>2025</v>
      </c>
    </row>
    <row r="81" spans="3:23" ht="16.5" x14ac:dyDescent="0.25">
      <c r="C81" s="29">
        <v>45762</v>
      </c>
      <c r="D81" s="21">
        <v>28970</v>
      </c>
      <c r="E81" s="8" t="str">
        <f>IFERROR(VLOOKUP(DetteFrs[N°Tiers],Tableau5[[N°tiers]:[Fournisseur]],2,FALSE),"")</f>
        <v>CCIS</v>
      </c>
      <c r="F81" s="23" t="str">
        <f>VLOOKUP(DetteFrs[Fournisseur],Tableau5[[Fournisseur]:[Catégorie]],2,FALSE)</f>
        <v>FRS METIERS</v>
      </c>
      <c r="G81" s="21">
        <v>4011100499</v>
      </c>
      <c r="H81" s="25">
        <v>236140</v>
      </c>
      <c r="I81" s="25" t="str">
        <f>IFERROR(VLOOKUP(DetteFrs[N°Facture],ReglFrs[],7,FALSE),"0")</f>
        <v>0</v>
      </c>
      <c r="J81" s="25">
        <f>IFERROR(DetteFrs[[#This Row],[Net à Payer]]-DetteFrs[[#This Row],[Montant Payé]],"")</f>
        <v>236140</v>
      </c>
      <c r="K81" s="24">
        <v>45772</v>
      </c>
      <c r="L81" s="28">
        <f ca="1">IF(DetteFrs[Solde]=0,"",(TODAY()-DetteFrs[[#This Row],[Échéance]]))</f>
        <v>57</v>
      </c>
      <c r="M81" s="22" t="str">
        <f ca="1">IF(DetteFrs[Retard]="","Payé",IF(DetteFrs[Retard]&lt;=0,"Non Echue",IF(DetteFrs[Retard]&lt;=30,"Echue [1;30]",IF(DetteFrs[Retard]&lt;=60,"Echue [31;60]",IF(DetteFrs[Retard]&lt;=90,"Echue [61;90]","Echue &gt; 90")))))</f>
        <v>Echue [31;60]</v>
      </c>
      <c r="O81" s="2" t="str">
        <f>+Tableau3[[#This Row],[Mois]]</f>
        <v>avril</v>
      </c>
      <c r="P81" s="2" t="s">
        <v>175</v>
      </c>
      <c r="U81" s="1">
        <f>IFERROR(MONTH(DetteFrs[Date Saisie]),"")</f>
        <v>4</v>
      </c>
      <c r="V81" s="1" t="str">
        <f>TEXT(DetteFrs[Date Saisie],"mmmm")</f>
        <v>avril</v>
      </c>
      <c r="W81" s="1" t="str">
        <f>TEXT(DetteFrs[Date Saisie],"yyyy")</f>
        <v>2025</v>
      </c>
    </row>
    <row r="82" spans="3:23" ht="16.5" x14ac:dyDescent="0.25">
      <c r="C82" s="29">
        <v>45763</v>
      </c>
      <c r="D82" s="21">
        <v>29096</v>
      </c>
      <c r="E82" s="8" t="str">
        <f>IFERROR(VLOOKUP(DetteFrs[N°Tiers],Tableau5[[N°tiers]:[Fournisseur]],2,FALSE),"")</f>
        <v>CCIS</v>
      </c>
      <c r="F82" s="23" t="str">
        <f>VLOOKUP(DetteFrs[Fournisseur],Tableau5[[Fournisseur]:[Catégorie]],2,FALSE)</f>
        <v>FRS METIERS</v>
      </c>
      <c r="G82" s="21">
        <v>4011100499</v>
      </c>
      <c r="H82" s="25">
        <v>713420</v>
      </c>
      <c r="I82" s="25" t="str">
        <f>IFERROR(VLOOKUP(DetteFrs[N°Facture],ReglFrs[],7,FALSE),"0")</f>
        <v>0</v>
      </c>
      <c r="J82" s="25">
        <f>IFERROR(DetteFrs[[#This Row],[Net à Payer]]-DetteFrs[[#This Row],[Montant Payé]],"")</f>
        <v>713420</v>
      </c>
      <c r="K82" s="24">
        <v>45773</v>
      </c>
      <c r="L82" s="28">
        <f ca="1">IF(DetteFrs[Solde]=0,"",(TODAY()-DetteFrs[[#This Row],[Échéance]]))</f>
        <v>56</v>
      </c>
      <c r="M82" s="22" t="str">
        <f ca="1">IF(DetteFrs[Retard]="","Payé",IF(DetteFrs[Retard]&lt;=0,"Non Echue",IF(DetteFrs[Retard]&lt;=30,"Echue [1;30]",IF(DetteFrs[Retard]&lt;=60,"Echue [31;60]",IF(DetteFrs[Retard]&lt;=90,"Echue [61;90]","Echue &gt; 90")))))</f>
        <v>Echue [31;60]</v>
      </c>
      <c r="O82" s="2" t="str">
        <f>+Tableau3[[#This Row],[Mois]]</f>
        <v>avril</v>
      </c>
      <c r="P82" s="2" t="s">
        <v>175</v>
      </c>
      <c r="U82" s="1">
        <f>IFERROR(MONTH(DetteFrs[Date Saisie]),"")</f>
        <v>4</v>
      </c>
      <c r="V82" s="1" t="str">
        <f>TEXT(DetteFrs[Date Saisie],"mmmm")</f>
        <v>avril</v>
      </c>
      <c r="W82" s="1" t="str">
        <f>TEXT(DetteFrs[Date Saisie],"yyyy")</f>
        <v>2025</v>
      </c>
    </row>
    <row r="83" spans="3:23" ht="16.5" x14ac:dyDescent="0.25">
      <c r="C83" s="29">
        <v>45763</v>
      </c>
      <c r="D83" s="21">
        <v>29095</v>
      </c>
      <c r="E83" s="8" t="str">
        <f>IFERROR(VLOOKUP(DetteFrs[N°Tiers],Tableau5[[N°tiers]:[Fournisseur]],2,FALSE),"")</f>
        <v>CCIS</v>
      </c>
      <c r="F83" s="23" t="str">
        <f>VLOOKUP(DetteFrs[Fournisseur],Tableau5[[Fournisseur]:[Catégorie]],2,FALSE)</f>
        <v>FRS METIERS</v>
      </c>
      <c r="G83" s="21">
        <v>4011100499</v>
      </c>
      <c r="H83" s="25">
        <v>265500</v>
      </c>
      <c r="I83" s="25" t="str">
        <f>IFERROR(VLOOKUP(DetteFrs[N°Facture],ReglFrs[],7,FALSE),"0")</f>
        <v>0</v>
      </c>
      <c r="J83" s="25">
        <f>IFERROR(DetteFrs[[#This Row],[Net à Payer]]-DetteFrs[[#This Row],[Montant Payé]],"")</f>
        <v>265500</v>
      </c>
      <c r="K83" s="24">
        <v>45773</v>
      </c>
      <c r="L83" s="28">
        <f ca="1">IF(DetteFrs[Solde]=0,"",(TODAY()-DetteFrs[[#This Row],[Échéance]]))</f>
        <v>56</v>
      </c>
      <c r="M83" s="22" t="str">
        <f ca="1">IF(DetteFrs[Retard]="","Payé",IF(DetteFrs[Retard]&lt;=0,"Non Echue",IF(DetteFrs[Retard]&lt;=30,"Echue [1;30]",IF(DetteFrs[Retard]&lt;=60,"Echue [31;60]",IF(DetteFrs[Retard]&lt;=90,"Echue [61;90]","Echue &gt; 90")))))</f>
        <v>Echue [31;60]</v>
      </c>
      <c r="O83" s="2" t="str">
        <f>+Tableau3[[#This Row],[Mois]]</f>
        <v>avril</v>
      </c>
      <c r="P83" s="2" t="s">
        <v>175</v>
      </c>
      <c r="U83" s="1">
        <f>IFERROR(MONTH(DetteFrs[Date Saisie]),"")</f>
        <v>4</v>
      </c>
      <c r="V83" s="1" t="str">
        <f>TEXT(DetteFrs[Date Saisie],"mmmm")</f>
        <v>avril</v>
      </c>
      <c r="W83" s="1" t="str">
        <f>TEXT(DetteFrs[Date Saisie],"yyyy")</f>
        <v>2025</v>
      </c>
    </row>
    <row r="84" spans="3:23" ht="16.5" x14ac:dyDescent="0.25">
      <c r="C84" s="29">
        <v>45764</v>
      </c>
      <c r="D84" s="21">
        <v>28969</v>
      </c>
      <c r="E84" s="8" t="str">
        <f>IFERROR(VLOOKUP(DetteFrs[N°Tiers],Tableau5[[N°tiers]:[Fournisseur]],2,FALSE),"")</f>
        <v>CCIS</v>
      </c>
      <c r="F84" s="23" t="str">
        <f>VLOOKUP(DetteFrs[Fournisseur],Tableau5[[Fournisseur]:[Catégorie]],2,FALSE)</f>
        <v>FRS METIERS</v>
      </c>
      <c r="G84" s="21">
        <v>4011100499</v>
      </c>
      <c r="H84" s="25">
        <v>59000</v>
      </c>
      <c r="I84" s="25" t="str">
        <f>IFERROR(VLOOKUP(DetteFrs[N°Facture],ReglFrs[],7,FALSE),"0")</f>
        <v>0</v>
      </c>
      <c r="J84" s="25">
        <f>IFERROR(DetteFrs[[#This Row],[Net à Payer]]-DetteFrs[[#This Row],[Montant Payé]],"")</f>
        <v>59000</v>
      </c>
      <c r="K84" s="24">
        <v>45772</v>
      </c>
      <c r="L84" s="28">
        <f ca="1">IF(DetteFrs[Solde]=0,"",(TODAY()-DetteFrs[[#This Row],[Échéance]]))</f>
        <v>57</v>
      </c>
      <c r="M84" s="22" t="str">
        <f ca="1">IF(DetteFrs[Retard]="","Payé",IF(DetteFrs[Retard]&lt;=0,"Non Echue",IF(DetteFrs[Retard]&lt;=30,"Echue [1;30]",IF(DetteFrs[Retard]&lt;=60,"Echue [31;60]",IF(DetteFrs[Retard]&lt;=90,"Echue [61;90]","Echue &gt; 90")))))</f>
        <v>Echue [31;60]</v>
      </c>
      <c r="O84" s="2" t="str">
        <f>+Tableau3[[#This Row],[Mois]]</f>
        <v>avril</v>
      </c>
      <c r="P84" s="2" t="s">
        <v>175</v>
      </c>
      <c r="U84" s="1">
        <f>IFERROR(MONTH(DetteFrs[Date Saisie]),"")</f>
        <v>4</v>
      </c>
      <c r="V84" s="1" t="str">
        <f>TEXT(DetteFrs[Date Saisie],"mmmm")</f>
        <v>avril</v>
      </c>
      <c r="W84" s="1" t="str">
        <f>TEXT(DetteFrs[Date Saisie],"yyyy")</f>
        <v>2025</v>
      </c>
    </row>
    <row r="85" spans="3:23" ht="16.5" x14ac:dyDescent="0.25">
      <c r="C85" s="29">
        <v>45764</v>
      </c>
      <c r="D85" s="21">
        <v>29186</v>
      </c>
      <c r="E85" s="8" t="str">
        <f>IFERROR(VLOOKUP(DetteFrs[N°Tiers],Tableau5[[N°tiers]:[Fournisseur]],2,FALSE),"")</f>
        <v>CCIS</v>
      </c>
      <c r="F85" s="23" t="str">
        <f>VLOOKUP(DetteFrs[Fournisseur],Tableau5[[Fournisseur]:[Catégorie]],2,FALSE)</f>
        <v>FRS METIERS</v>
      </c>
      <c r="G85" s="21">
        <v>4011100499</v>
      </c>
      <c r="H85" s="25">
        <v>158260</v>
      </c>
      <c r="I85" s="25" t="str">
        <f>IFERROR(VLOOKUP(DetteFrs[N°Facture],ReglFrs[],7,FALSE),"0")</f>
        <v>0</v>
      </c>
      <c r="J85" s="25">
        <f>IFERROR(DetteFrs[[#This Row],[Net à Payer]]-DetteFrs[[#This Row],[Montant Payé]],"")</f>
        <v>158260</v>
      </c>
      <c r="K85" s="24">
        <v>45774</v>
      </c>
      <c r="L85" s="28">
        <f ca="1">IF(DetteFrs[Solde]=0,"",(TODAY()-DetteFrs[[#This Row],[Échéance]]))</f>
        <v>55</v>
      </c>
      <c r="M85" s="22" t="str">
        <f ca="1">IF(DetteFrs[Retard]="","Payé",IF(DetteFrs[Retard]&lt;=0,"Non Echue",IF(DetteFrs[Retard]&lt;=30,"Echue [1;30]",IF(DetteFrs[Retard]&lt;=60,"Echue [31;60]",IF(DetteFrs[Retard]&lt;=90,"Echue [61;90]","Echue &gt; 90")))))</f>
        <v>Echue [31;60]</v>
      </c>
      <c r="O85" s="2" t="str">
        <f>+Tableau3[[#This Row],[Mois]]</f>
        <v>avril</v>
      </c>
      <c r="P85" s="2" t="s">
        <v>175</v>
      </c>
      <c r="U85" s="1">
        <f>IFERROR(MONTH(DetteFrs[Date Saisie]),"")</f>
        <v>4</v>
      </c>
      <c r="V85" s="1" t="str">
        <f>TEXT(DetteFrs[Date Saisie],"mmmm")</f>
        <v>avril</v>
      </c>
      <c r="W85" s="1" t="str">
        <f>TEXT(DetteFrs[Date Saisie],"yyyy")</f>
        <v>2025</v>
      </c>
    </row>
    <row r="86" spans="3:23" ht="16.5" x14ac:dyDescent="0.25">
      <c r="C86" s="29">
        <v>45764</v>
      </c>
      <c r="D86" s="21">
        <v>29187</v>
      </c>
      <c r="E86" s="8" t="str">
        <f>IFERROR(VLOOKUP(DetteFrs[N°Tiers],Tableau5[[N°tiers]:[Fournisseur]],2,FALSE),"")</f>
        <v>CCIS</v>
      </c>
      <c r="F86" s="23" t="str">
        <f>VLOOKUP(DetteFrs[Fournisseur],Tableau5[[Fournisseur]:[Catégorie]],2,FALSE)</f>
        <v>FRS METIERS</v>
      </c>
      <c r="G86" s="21">
        <v>4011100499</v>
      </c>
      <c r="H86" s="25">
        <v>59000</v>
      </c>
      <c r="I86" s="25" t="str">
        <f>IFERROR(VLOOKUP(DetteFrs[N°Facture],ReglFrs[],7,FALSE),"0")</f>
        <v>0</v>
      </c>
      <c r="J86" s="25">
        <f>IFERROR(DetteFrs[[#This Row],[Net à Payer]]-DetteFrs[[#This Row],[Montant Payé]],"")</f>
        <v>59000</v>
      </c>
      <c r="K86" s="24">
        <v>45774</v>
      </c>
      <c r="L86" s="28">
        <f ca="1">IF(DetteFrs[Solde]=0,"",(TODAY()-DetteFrs[[#This Row],[Échéance]]))</f>
        <v>55</v>
      </c>
      <c r="M86" s="22" t="str">
        <f ca="1">IF(DetteFrs[Retard]="","Payé",IF(DetteFrs[Retard]&lt;=0,"Non Echue",IF(DetteFrs[Retard]&lt;=30,"Echue [1;30]",IF(DetteFrs[Retard]&lt;=60,"Echue [31;60]",IF(DetteFrs[Retard]&lt;=90,"Echue [61;90]","Echue &gt; 90")))))</f>
        <v>Echue [31;60]</v>
      </c>
      <c r="O86" s="2" t="str">
        <f>+Tableau3[[#This Row],[Mois]]</f>
        <v>avril</v>
      </c>
      <c r="P86" s="2" t="s">
        <v>175</v>
      </c>
      <c r="U86" s="1">
        <f>IFERROR(MONTH(DetteFrs[Date Saisie]),"")</f>
        <v>4</v>
      </c>
      <c r="V86" s="1" t="str">
        <f>TEXT(DetteFrs[Date Saisie],"mmmm")</f>
        <v>avril</v>
      </c>
      <c r="W86" s="1" t="str">
        <f>TEXT(DetteFrs[Date Saisie],"yyyy")</f>
        <v>2025</v>
      </c>
    </row>
    <row r="87" spans="3:23" ht="16.5" x14ac:dyDescent="0.25">
      <c r="C87" s="29">
        <v>45764</v>
      </c>
      <c r="D87" s="21">
        <v>29188</v>
      </c>
      <c r="E87" s="8" t="str">
        <f>IFERROR(VLOOKUP(DetteFrs[N°Tiers],Tableau5[[N°tiers]:[Fournisseur]],2,FALSE),"")</f>
        <v>CCIS</v>
      </c>
      <c r="F87" s="23" t="str">
        <f>VLOOKUP(DetteFrs[Fournisseur],Tableau5[[Fournisseur]:[Catégorie]],2,FALSE)</f>
        <v>FRS METIERS</v>
      </c>
      <c r="G87" s="21">
        <v>4011100499</v>
      </c>
      <c r="H87" s="25">
        <v>236140</v>
      </c>
      <c r="I87" s="25" t="str">
        <f>IFERROR(VLOOKUP(DetteFrs[N°Facture],ReglFrs[],7,FALSE),"0")</f>
        <v>0</v>
      </c>
      <c r="J87" s="25">
        <f>IFERROR(DetteFrs[[#This Row],[Net à Payer]]-DetteFrs[[#This Row],[Montant Payé]],"")</f>
        <v>236140</v>
      </c>
      <c r="K87" s="24">
        <v>45774</v>
      </c>
      <c r="L87" s="28">
        <f ca="1">IF(DetteFrs[Solde]=0,"",(TODAY()-DetteFrs[[#This Row],[Échéance]]))</f>
        <v>55</v>
      </c>
      <c r="M87" s="22" t="str">
        <f ca="1">IF(DetteFrs[Retard]="","Payé",IF(DetteFrs[Retard]&lt;=0,"Non Echue",IF(DetteFrs[Retard]&lt;=30,"Echue [1;30]",IF(DetteFrs[Retard]&lt;=60,"Echue [31;60]",IF(DetteFrs[Retard]&lt;=90,"Echue [61;90]","Echue &gt; 90")))))</f>
        <v>Echue [31;60]</v>
      </c>
      <c r="O87" s="2" t="str">
        <f>+Tableau3[[#This Row],[Mois]]</f>
        <v>avril</v>
      </c>
      <c r="P87" s="2" t="s">
        <v>175</v>
      </c>
      <c r="U87" s="1">
        <f>IFERROR(MONTH(DetteFrs[Date Saisie]),"")</f>
        <v>4</v>
      </c>
      <c r="V87" s="1" t="str">
        <f>TEXT(DetteFrs[Date Saisie],"mmmm")</f>
        <v>avril</v>
      </c>
      <c r="W87" s="1" t="str">
        <f>TEXT(DetteFrs[Date Saisie],"yyyy")</f>
        <v>2025</v>
      </c>
    </row>
    <row r="88" spans="3:23" ht="16.5" x14ac:dyDescent="0.25">
      <c r="C88" s="29">
        <v>45764</v>
      </c>
      <c r="D88" s="21">
        <v>29189</v>
      </c>
      <c r="E88" s="8" t="str">
        <f>IFERROR(VLOOKUP(DetteFrs[N°Tiers],Tableau5[[N°tiers]:[Fournisseur]],2,FALSE),"")</f>
        <v>CCIS</v>
      </c>
      <c r="F88" s="23" t="str">
        <f>VLOOKUP(DetteFrs[Fournisseur],Tableau5[[Fournisseur]:[Catégorie]],2,FALSE)</f>
        <v>FRS METIERS</v>
      </c>
      <c r="G88" s="21">
        <v>4011100499</v>
      </c>
      <c r="H88" s="25">
        <v>59000</v>
      </c>
      <c r="I88" s="25" t="str">
        <f>IFERROR(VLOOKUP(DetteFrs[N°Facture],ReglFrs[],7,FALSE),"0")</f>
        <v>0</v>
      </c>
      <c r="J88" s="25">
        <f>IFERROR(DetteFrs[[#This Row],[Net à Payer]]-DetteFrs[[#This Row],[Montant Payé]],"")</f>
        <v>59000</v>
      </c>
      <c r="K88" s="24">
        <v>45774</v>
      </c>
      <c r="L88" s="28">
        <f ca="1">IF(DetteFrs[Solde]=0,"",(TODAY()-DetteFrs[[#This Row],[Échéance]]))</f>
        <v>55</v>
      </c>
      <c r="M88" s="22" t="str">
        <f ca="1">IF(DetteFrs[Retard]="","Payé",IF(DetteFrs[Retard]&lt;=0,"Non Echue",IF(DetteFrs[Retard]&lt;=30,"Echue [1;30]",IF(DetteFrs[Retard]&lt;=60,"Echue [31;60]",IF(DetteFrs[Retard]&lt;=90,"Echue [61;90]","Echue &gt; 90")))))</f>
        <v>Echue [31;60]</v>
      </c>
      <c r="O88" s="2" t="str">
        <f>+Tableau3[[#This Row],[Mois]]</f>
        <v>avril</v>
      </c>
      <c r="P88" s="2" t="s">
        <v>175</v>
      </c>
      <c r="U88" s="1">
        <f>IFERROR(MONTH(DetteFrs[Date Saisie]),"")</f>
        <v>4</v>
      </c>
      <c r="V88" s="1" t="str">
        <f>TEXT(DetteFrs[Date Saisie],"mmmm")</f>
        <v>avril</v>
      </c>
      <c r="W88" s="1" t="str">
        <f>TEXT(DetteFrs[Date Saisie],"yyyy")</f>
        <v>2025</v>
      </c>
    </row>
    <row r="89" spans="3:23" ht="16.5" x14ac:dyDescent="0.25">
      <c r="C89" s="29">
        <v>45764</v>
      </c>
      <c r="D89" s="21">
        <v>29222</v>
      </c>
      <c r="E89" s="8" t="str">
        <f>IFERROR(VLOOKUP(DetteFrs[N°Tiers],Tableau5[[N°tiers]:[Fournisseur]],2,FALSE),"")</f>
        <v>CCIS</v>
      </c>
      <c r="F89" s="23" t="str">
        <f>VLOOKUP(DetteFrs[Fournisseur],Tableau5[[Fournisseur]:[Catégorie]],2,FALSE)</f>
        <v>FRS METIERS</v>
      </c>
      <c r="G89" s="21">
        <v>4011100499</v>
      </c>
      <c r="H89" s="25">
        <v>643040</v>
      </c>
      <c r="I89" s="25" t="str">
        <f>IFERROR(VLOOKUP(DetteFrs[N°Facture],ReglFrs[],7,FALSE),"0")</f>
        <v>0</v>
      </c>
      <c r="J89" s="25">
        <f>IFERROR(DetteFrs[[#This Row],[Net à Payer]]-DetteFrs[[#This Row],[Montant Payé]],"")</f>
        <v>643040</v>
      </c>
      <c r="K89" s="24">
        <v>45774</v>
      </c>
      <c r="L89" s="28">
        <f ca="1">IF(DetteFrs[Solde]=0,"",(TODAY()-DetteFrs[[#This Row],[Échéance]]))</f>
        <v>55</v>
      </c>
      <c r="M89" s="22" t="str">
        <f ca="1">IF(DetteFrs[Retard]="","Payé",IF(DetteFrs[Retard]&lt;=0,"Non Echue",IF(DetteFrs[Retard]&lt;=30,"Echue [1;30]",IF(DetteFrs[Retard]&lt;=60,"Echue [31;60]",IF(DetteFrs[Retard]&lt;=90,"Echue [61;90]","Echue &gt; 90")))))</f>
        <v>Echue [31;60]</v>
      </c>
      <c r="O89" s="2" t="str">
        <f>+Tableau3[[#This Row],[Mois]]</f>
        <v>avril</v>
      </c>
      <c r="P89" s="2" t="s">
        <v>175</v>
      </c>
      <c r="U89" s="1">
        <f>IFERROR(MONTH(DetteFrs[Date Saisie]),"")</f>
        <v>4</v>
      </c>
      <c r="V89" s="1" t="str">
        <f>TEXT(DetteFrs[Date Saisie],"mmmm")</f>
        <v>avril</v>
      </c>
      <c r="W89" s="1" t="str">
        <f>TEXT(DetteFrs[Date Saisie],"yyyy")</f>
        <v>2025</v>
      </c>
    </row>
    <row r="90" spans="3:23" ht="16.5" x14ac:dyDescent="0.25">
      <c r="C90" s="29">
        <v>45764</v>
      </c>
      <c r="D90" s="21">
        <v>29223</v>
      </c>
      <c r="E90" s="8" t="str">
        <f>IFERROR(VLOOKUP(DetteFrs[N°Tiers],Tableau5[[N°tiers]:[Fournisseur]],2,FALSE),"")</f>
        <v>CCIS</v>
      </c>
      <c r="F90" s="23" t="str">
        <f>VLOOKUP(DetteFrs[Fournisseur],Tableau5[[Fournisseur]:[Catégorie]],2,FALSE)</f>
        <v>FRS METIERS</v>
      </c>
      <c r="G90" s="21">
        <v>4011100499</v>
      </c>
      <c r="H90" s="25">
        <v>236000</v>
      </c>
      <c r="I90" s="25" t="str">
        <f>IFERROR(VLOOKUP(DetteFrs[N°Facture],ReglFrs[],7,FALSE),"0")</f>
        <v>0</v>
      </c>
      <c r="J90" s="25">
        <f>IFERROR(DetteFrs[[#This Row],[Net à Payer]]-DetteFrs[[#This Row],[Montant Payé]],"")</f>
        <v>236000</v>
      </c>
      <c r="K90" s="24">
        <v>45774</v>
      </c>
      <c r="L90" s="28">
        <f ca="1">IF(DetteFrs[Solde]=0,"",(TODAY()-DetteFrs[[#This Row],[Échéance]]))</f>
        <v>55</v>
      </c>
      <c r="M90" s="22" t="str">
        <f ca="1">IF(DetteFrs[Retard]="","Payé",IF(DetteFrs[Retard]&lt;=0,"Non Echue",IF(DetteFrs[Retard]&lt;=30,"Echue [1;30]",IF(DetteFrs[Retard]&lt;=60,"Echue [31;60]",IF(DetteFrs[Retard]&lt;=90,"Echue [61;90]","Echue &gt; 90")))))</f>
        <v>Echue [31;60]</v>
      </c>
      <c r="O90" s="2" t="str">
        <f>+Tableau3[[#This Row],[Mois]]</f>
        <v>avril</v>
      </c>
      <c r="P90" s="2" t="s">
        <v>175</v>
      </c>
      <c r="U90" s="1">
        <f>IFERROR(MONTH(DetteFrs[Date Saisie]),"")</f>
        <v>4</v>
      </c>
      <c r="V90" s="1" t="str">
        <f>TEXT(DetteFrs[Date Saisie],"mmmm")</f>
        <v>avril</v>
      </c>
      <c r="W90" s="1" t="str">
        <f>TEXT(DetteFrs[Date Saisie],"yyyy")</f>
        <v>2025</v>
      </c>
    </row>
    <row r="91" spans="3:23" ht="16.5" x14ac:dyDescent="0.25">
      <c r="C91" s="29">
        <v>45765</v>
      </c>
      <c r="D91" s="21">
        <v>29294</v>
      </c>
      <c r="E91" s="8" t="str">
        <f>IFERROR(VLOOKUP(DetteFrs[N°Tiers],Tableau5[[N°tiers]:[Fournisseur]],2,FALSE),"")</f>
        <v>CCIS</v>
      </c>
      <c r="F91" s="23" t="str">
        <f>VLOOKUP(DetteFrs[Fournisseur],Tableau5[[Fournisseur]:[Catégorie]],2,FALSE)</f>
        <v>FRS METIERS</v>
      </c>
      <c r="G91" s="21">
        <v>4011100499</v>
      </c>
      <c r="H91" s="25">
        <v>158260</v>
      </c>
      <c r="I91" s="25" t="str">
        <f>IFERROR(VLOOKUP(DetteFrs[N°Facture],ReglFrs[],7,FALSE),"0")</f>
        <v>0</v>
      </c>
      <c r="J91" s="25">
        <f>IFERROR(DetteFrs[[#This Row],[Net à Payer]]-DetteFrs[[#This Row],[Montant Payé]],"")</f>
        <v>158260</v>
      </c>
      <c r="K91" s="24">
        <v>45765</v>
      </c>
      <c r="L91" s="28">
        <f ca="1">IF(DetteFrs[Solde]=0,"",(TODAY()-DetteFrs[[#This Row],[Échéance]]))</f>
        <v>64</v>
      </c>
      <c r="M91" s="22" t="str">
        <f ca="1">IF(DetteFrs[Retard]="","Payé",IF(DetteFrs[Retard]&lt;=0,"Non Echue",IF(DetteFrs[Retard]&lt;=30,"Echue [1;30]",IF(DetteFrs[Retard]&lt;=60,"Echue [31;60]",IF(DetteFrs[Retard]&lt;=90,"Echue [61;90]","Echue &gt; 90")))))</f>
        <v>Echue [61;90]</v>
      </c>
      <c r="O91" s="2" t="str">
        <f>+Tableau3[[#This Row],[Mois]]</f>
        <v>avril</v>
      </c>
      <c r="P91" s="2" t="s">
        <v>175</v>
      </c>
      <c r="U91" s="1">
        <f>IFERROR(MONTH(DetteFrs[Date Saisie]),"")</f>
        <v>4</v>
      </c>
      <c r="V91" s="1" t="str">
        <f>TEXT(DetteFrs[Date Saisie],"mmmm")</f>
        <v>avril</v>
      </c>
      <c r="W91" s="1" t="str">
        <f>TEXT(DetteFrs[Date Saisie],"yyyy")</f>
        <v>2025</v>
      </c>
    </row>
    <row r="92" spans="3:23" ht="16.5" x14ac:dyDescent="0.25">
      <c r="C92" s="29">
        <v>45765</v>
      </c>
      <c r="D92" s="21">
        <v>29293</v>
      </c>
      <c r="E92" s="8" t="str">
        <f>IFERROR(VLOOKUP(DetteFrs[N°Tiers],Tableau5[[N°tiers]:[Fournisseur]],2,FALSE),"")</f>
        <v>CCIS</v>
      </c>
      <c r="F92" s="23" t="str">
        <f>VLOOKUP(DetteFrs[Fournisseur],Tableau5[[Fournisseur]:[Catégorie]],2,FALSE)</f>
        <v>FRS METIERS</v>
      </c>
      <c r="G92" s="21">
        <v>4011100499</v>
      </c>
      <c r="H92" s="25">
        <v>59000</v>
      </c>
      <c r="I92" s="25" t="str">
        <f>IFERROR(VLOOKUP(DetteFrs[N°Facture],ReglFrs[],7,FALSE),"0")</f>
        <v>0</v>
      </c>
      <c r="J92" s="25">
        <f>IFERROR(DetteFrs[[#This Row],[Net à Payer]]-DetteFrs[[#This Row],[Montant Payé]],"")</f>
        <v>59000</v>
      </c>
      <c r="K92" s="24">
        <v>45765</v>
      </c>
      <c r="L92" s="28">
        <f ca="1">IF(DetteFrs[Solde]=0,"",(TODAY()-DetteFrs[[#This Row],[Échéance]]))</f>
        <v>64</v>
      </c>
      <c r="M92" s="22" t="str">
        <f ca="1">IF(DetteFrs[Retard]="","Payé",IF(DetteFrs[Retard]&lt;=0,"Non Echue",IF(DetteFrs[Retard]&lt;=30,"Echue [1;30]",IF(DetteFrs[Retard]&lt;=60,"Echue [31;60]",IF(DetteFrs[Retard]&lt;=90,"Echue [61;90]","Echue &gt; 90")))))</f>
        <v>Echue [61;90]</v>
      </c>
      <c r="O92" s="2" t="str">
        <f>+Tableau3[[#This Row],[Mois]]</f>
        <v>avril</v>
      </c>
      <c r="P92" s="2" t="s">
        <v>175</v>
      </c>
      <c r="U92" s="1">
        <f>IFERROR(MONTH(DetteFrs[Date Saisie]),"")</f>
        <v>4</v>
      </c>
      <c r="V92" s="1" t="str">
        <f>TEXT(DetteFrs[Date Saisie],"mmmm")</f>
        <v>avril</v>
      </c>
      <c r="W92" s="1" t="str">
        <f>TEXT(DetteFrs[Date Saisie],"yyyy")</f>
        <v>2025</v>
      </c>
    </row>
    <row r="93" spans="3:23" ht="16.5" x14ac:dyDescent="0.25">
      <c r="C93" s="29">
        <v>45765</v>
      </c>
      <c r="D93" s="21">
        <v>29269</v>
      </c>
      <c r="E93" s="8" t="str">
        <f>IFERROR(VLOOKUP(DetteFrs[N°Tiers],Tableau5[[N°tiers]:[Fournisseur]],2,FALSE),"")</f>
        <v>CCIS</v>
      </c>
      <c r="F93" s="23" t="str">
        <f>VLOOKUP(DetteFrs[Fournisseur],Tableau5[[Fournisseur]:[Catégorie]],2,FALSE)</f>
        <v>FRS METIERS</v>
      </c>
      <c r="G93" s="21">
        <v>4011100499</v>
      </c>
      <c r="H93" s="25">
        <v>80380</v>
      </c>
      <c r="I93" s="25" t="str">
        <f>IFERROR(VLOOKUP(DetteFrs[N°Facture],ReglFrs[],7,FALSE),"0")</f>
        <v>0</v>
      </c>
      <c r="J93" s="25">
        <f>IFERROR(DetteFrs[[#This Row],[Net à Payer]]-DetteFrs[[#This Row],[Montant Payé]],"")</f>
        <v>80380</v>
      </c>
      <c r="K93" s="24">
        <v>45765</v>
      </c>
      <c r="L93" s="28">
        <f ca="1">IF(DetteFrs[Solde]=0,"",(TODAY()-DetteFrs[[#This Row],[Échéance]]))</f>
        <v>64</v>
      </c>
      <c r="M93" s="22" t="str">
        <f ca="1">IF(DetteFrs[Retard]="","Payé",IF(DetteFrs[Retard]&lt;=0,"Non Echue",IF(DetteFrs[Retard]&lt;=30,"Echue [1;30]",IF(DetteFrs[Retard]&lt;=60,"Echue [31;60]",IF(DetteFrs[Retard]&lt;=90,"Echue [61;90]","Echue &gt; 90")))))</f>
        <v>Echue [61;90]</v>
      </c>
      <c r="O93" s="2" t="str">
        <f>+Tableau3[[#This Row],[Mois]]</f>
        <v>avril</v>
      </c>
      <c r="P93" s="2" t="s">
        <v>175</v>
      </c>
      <c r="U93" s="1">
        <f>IFERROR(MONTH(DetteFrs[Date Saisie]),"")</f>
        <v>4</v>
      </c>
      <c r="V93" s="1" t="str">
        <f>TEXT(DetteFrs[Date Saisie],"mmmm")</f>
        <v>avril</v>
      </c>
      <c r="W93" s="1" t="str">
        <f>TEXT(DetteFrs[Date Saisie],"yyyy")</f>
        <v>2025</v>
      </c>
    </row>
    <row r="94" spans="3:23" ht="16.5" x14ac:dyDescent="0.25">
      <c r="C94" s="29">
        <v>45769</v>
      </c>
      <c r="D94" s="21">
        <v>29402</v>
      </c>
      <c r="E94" s="8" t="str">
        <f>IFERROR(VLOOKUP(DetteFrs[N°Tiers],Tableau5[[N°tiers]:[Fournisseur]],2,FALSE),"")</f>
        <v>CCIS</v>
      </c>
      <c r="F94" s="23" t="str">
        <f>VLOOKUP(DetteFrs[Fournisseur],Tableau5[[Fournisseur]:[Catégorie]],2,FALSE)</f>
        <v>FRS METIERS</v>
      </c>
      <c r="G94" s="21">
        <v>4011100499</v>
      </c>
      <c r="H94" s="25">
        <v>236140</v>
      </c>
      <c r="I94" s="25" t="str">
        <f>IFERROR(VLOOKUP(DetteFrs[N°Facture],ReglFrs[],7,FALSE),"0")</f>
        <v>0</v>
      </c>
      <c r="J94" s="25">
        <f>IFERROR(DetteFrs[[#This Row],[Net à Payer]]-DetteFrs[[#This Row],[Montant Payé]],"")</f>
        <v>236140</v>
      </c>
      <c r="K94" s="24">
        <v>45779</v>
      </c>
      <c r="L94" s="28">
        <f ca="1">IF(DetteFrs[Solde]=0,"",(TODAY()-DetteFrs[[#This Row],[Échéance]]))</f>
        <v>50</v>
      </c>
      <c r="M94" s="22" t="str">
        <f ca="1">IF(DetteFrs[Retard]="","Payé",IF(DetteFrs[Retard]&lt;=0,"Non Echue",IF(DetteFrs[Retard]&lt;=30,"Echue [1;30]",IF(DetteFrs[Retard]&lt;=60,"Echue [31;60]",IF(DetteFrs[Retard]&lt;=90,"Echue [61;90]","Echue &gt; 90")))))</f>
        <v>Echue [31;60]</v>
      </c>
      <c r="O94" s="2" t="str">
        <f>+Tableau3[[#This Row],[Mois]]</f>
        <v>avril</v>
      </c>
      <c r="P94" s="2" t="s">
        <v>175</v>
      </c>
      <c r="U94" s="1">
        <f>IFERROR(MONTH(DetteFrs[Date Saisie]),"")</f>
        <v>4</v>
      </c>
      <c r="V94" s="1" t="str">
        <f>TEXT(DetteFrs[Date Saisie],"mmmm")</f>
        <v>avril</v>
      </c>
      <c r="W94" s="1" t="str">
        <f>TEXT(DetteFrs[Date Saisie],"yyyy")</f>
        <v>2025</v>
      </c>
    </row>
    <row r="95" spans="3:23" ht="16.5" x14ac:dyDescent="0.25">
      <c r="C95" s="29">
        <v>45769</v>
      </c>
      <c r="D95" s="21">
        <v>29403</v>
      </c>
      <c r="E95" s="8" t="str">
        <f>IFERROR(VLOOKUP(DetteFrs[N°Tiers],Tableau5[[N°tiers]:[Fournisseur]],2,FALSE),"")</f>
        <v>CCIS</v>
      </c>
      <c r="F95" s="23" t="str">
        <f>VLOOKUP(DetteFrs[Fournisseur],Tableau5[[Fournisseur]:[Catégorie]],2,FALSE)</f>
        <v>FRS METIERS</v>
      </c>
      <c r="G95" s="21">
        <v>4011100499</v>
      </c>
      <c r="H95" s="25">
        <v>59000</v>
      </c>
      <c r="I95" s="25" t="str">
        <f>IFERROR(VLOOKUP(DetteFrs[N°Facture],ReglFrs[],7,FALSE),"0")</f>
        <v>0</v>
      </c>
      <c r="J95" s="25">
        <f>IFERROR(DetteFrs[[#This Row],[Net à Payer]]-DetteFrs[[#This Row],[Montant Payé]],"")</f>
        <v>59000</v>
      </c>
      <c r="K95" s="24">
        <v>45779</v>
      </c>
      <c r="L95" s="28">
        <f ca="1">IF(DetteFrs[Solde]=0,"",(TODAY()-DetteFrs[[#This Row],[Échéance]]))</f>
        <v>50</v>
      </c>
      <c r="M95" s="22" t="str">
        <f ca="1">IF(DetteFrs[Retard]="","Payé",IF(DetteFrs[Retard]&lt;=0,"Non Echue",IF(DetteFrs[Retard]&lt;=30,"Echue [1;30]",IF(DetteFrs[Retard]&lt;=60,"Echue [31;60]",IF(DetteFrs[Retard]&lt;=90,"Echue [61;90]","Echue &gt; 90")))))</f>
        <v>Echue [31;60]</v>
      </c>
      <c r="O95" s="2" t="str">
        <f>+Tableau3[[#This Row],[Mois]]</f>
        <v>avril</v>
      </c>
      <c r="P95" s="2" t="s">
        <v>175</v>
      </c>
      <c r="U95" s="1">
        <f>IFERROR(MONTH(DetteFrs[Date Saisie]),"")</f>
        <v>4</v>
      </c>
      <c r="V95" s="1" t="str">
        <f>TEXT(DetteFrs[Date Saisie],"mmmm")</f>
        <v>avril</v>
      </c>
      <c r="W95" s="1" t="str">
        <f>TEXT(DetteFrs[Date Saisie],"yyyy")</f>
        <v>2025</v>
      </c>
    </row>
    <row r="96" spans="3:23" ht="16.5" x14ac:dyDescent="0.25">
      <c r="C96" s="29">
        <v>45769</v>
      </c>
      <c r="D96" s="21">
        <v>29400</v>
      </c>
      <c r="E96" s="8" t="str">
        <f>IFERROR(VLOOKUP(DetteFrs[N°Tiers],Tableau5[[N°tiers]:[Fournisseur]],2,FALSE),"")</f>
        <v>CCIS</v>
      </c>
      <c r="F96" s="23" t="str">
        <f>VLOOKUP(DetteFrs[Fournisseur],Tableau5[[Fournisseur]:[Catégorie]],2,FALSE)</f>
        <v>FRS METIERS</v>
      </c>
      <c r="G96" s="21">
        <v>4011100499</v>
      </c>
      <c r="H96" s="25">
        <v>158260</v>
      </c>
      <c r="I96" s="25" t="str">
        <f>IFERROR(VLOOKUP(DetteFrs[N°Facture],ReglFrs[],7,FALSE),"0")</f>
        <v>0</v>
      </c>
      <c r="J96" s="25">
        <f>IFERROR(DetteFrs[[#This Row],[Net à Payer]]-DetteFrs[[#This Row],[Montant Payé]],"")</f>
        <v>158260</v>
      </c>
      <c r="K96" s="24">
        <v>45779</v>
      </c>
      <c r="L96" s="28">
        <f ca="1">IF(DetteFrs[Solde]=0,"",(TODAY()-DetteFrs[[#This Row],[Échéance]]))</f>
        <v>50</v>
      </c>
      <c r="M96" s="22" t="str">
        <f ca="1">IF(DetteFrs[Retard]="","Payé",IF(DetteFrs[Retard]&lt;=0,"Non Echue",IF(DetteFrs[Retard]&lt;=30,"Echue [1;30]",IF(DetteFrs[Retard]&lt;=60,"Echue [31;60]",IF(DetteFrs[Retard]&lt;=90,"Echue [61;90]","Echue &gt; 90")))))</f>
        <v>Echue [31;60]</v>
      </c>
      <c r="O96" s="2" t="str">
        <f>+Tableau3[[#This Row],[Mois]]</f>
        <v>avril</v>
      </c>
      <c r="P96" s="2" t="s">
        <v>175</v>
      </c>
      <c r="U96" s="1">
        <f>IFERROR(MONTH(DetteFrs[Date Saisie]),"")</f>
        <v>4</v>
      </c>
      <c r="V96" s="1" t="str">
        <f>TEXT(DetteFrs[Date Saisie],"mmmm")</f>
        <v>avril</v>
      </c>
      <c r="W96" s="1" t="str">
        <f>TEXT(DetteFrs[Date Saisie],"yyyy")</f>
        <v>2025</v>
      </c>
    </row>
    <row r="97" spans="3:23" ht="16.5" x14ac:dyDescent="0.25">
      <c r="C97" s="29">
        <v>45769</v>
      </c>
      <c r="D97" s="21">
        <v>29401</v>
      </c>
      <c r="E97" s="8" t="str">
        <f>IFERROR(VLOOKUP(DetteFrs[N°Tiers],Tableau5[[N°tiers]:[Fournisseur]],2,FALSE),"")</f>
        <v>CCIS</v>
      </c>
      <c r="F97" s="23" t="str">
        <f>VLOOKUP(DetteFrs[Fournisseur],Tableau5[[Fournisseur]:[Catégorie]],2,FALSE)</f>
        <v>FRS METIERS</v>
      </c>
      <c r="G97" s="21">
        <v>4011100499</v>
      </c>
      <c r="H97" s="25">
        <v>59000</v>
      </c>
      <c r="I97" s="25" t="str">
        <f>IFERROR(VLOOKUP(DetteFrs[N°Facture],ReglFrs[],7,FALSE),"0")</f>
        <v>0</v>
      </c>
      <c r="J97" s="25">
        <f>IFERROR(DetteFrs[[#This Row],[Net à Payer]]-DetteFrs[[#This Row],[Montant Payé]],"")</f>
        <v>59000</v>
      </c>
      <c r="K97" s="24">
        <v>45779</v>
      </c>
      <c r="L97" s="28">
        <f ca="1">IF(DetteFrs[Solde]=0,"",(TODAY()-DetteFrs[[#This Row],[Échéance]]))</f>
        <v>50</v>
      </c>
      <c r="M97" s="22" t="str">
        <f ca="1">IF(DetteFrs[Retard]="","Payé",IF(DetteFrs[Retard]&lt;=0,"Non Echue",IF(DetteFrs[Retard]&lt;=30,"Echue [1;30]",IF(DetteFrs[Retard]&lt;=60,"Echue [31;60]",IF(DetteFrs[Retard]&lt;=90,"Echue [61;90]","Echue &gt; 90")))))</f>
        <v>Echue [31;60]</v>
      </c>
      <c r="O97" s="2" t="str">
        <f>+Tableau3[[#This Row],[Mois]]</f>
        <v>avril</v>
      </c>
      <c r="P97" s="2" t="s">
        <v>175</v>
      </c>
      <c r="U97" s="1">
        <f>IFERROR(MONTH(DetteFrs[Date Saisie]),"")</f>
        <v>4</v>
      </c>
      <c r="V97" s="1" t="str">
        <f>TEXT(DetteFrs[Date Saisie],"mmmm")</f>
        <v>avril</v>
      </c>
      <c r="W97" s="1" t="str">
        <f>TEXT(DetteFrs[Date Saisie],"yyyy")</f>
        <v>2025</v>
      </c>
    </row>
    <row r="98" spans="3:23" ht="16.5" x14ac:dyDescent="0.25">
      <c r="C98" s="29">
        <v>45769</v>
      </c>
      <c r="D98" s="21">
        <v>29394</v>
      </c>
      <c r="E98" s="8" t="str">
        <f>IFERROR(VLOOKUP(DetteFrs[N°Tiers],Tableau5[[N°tiers]:[Fournisseur]],2,FALSE),"")</f>
        <v>CCIS</v>
      </c>
      <c r="F98" s="23" t="str">
        <f>VLOOKUP(DetteFrs[Fournisseur],Tableau5[[Fournisseur]:[Catégorie]],2,FALSE)</f>
        <v>FRS METIERS</v>
      </c>
      <c r="G98" s="21">
        <v>4011100499</v>
      </c>
      <c r="H98" s="25">
        <v>236140</v>
      </c>
      <c r="I98" s="25" t="str">
        <f>IFERROR(VLOOKUP(DetteFrs[N°Facture],ReglFrs[],7,FALSE),"0")</f>
        <v>0</v>
      </c>
      <c r="J98" s="25">
        <f>IFERROR(DetteFrs[[#This Row],[Net à Payer]]-DetteFrs[[#This Row],[Montant Payé]],"")</f>
        <v>236140</v>
      </c>
      <c r="K98" s="24">
        <v>45779</v>
      </c>
      <c r="L98" s="28">
        <f ca="1">IF(DetteFrs[Solde]=0,"",(TODAY()-DetteFrs[[#This Row],[Échéance]]))</f>
        <v>50</v>
      </c>
      <c r="M98" s="22" t="str">
        <f ca="1">IF(DetteFrs[Retard]="","Payé",IF(DetteFrs[Retard]&lt;=0,"Non Echue",IF(DetteFrs[Retard]&lt;=30,"Echue [1;30]",IF(DetteFrs[Retard]&lt;=60,"Echue [31;60]",IF(DetteFrs[Retard]&lt;=90,"Echue [61;90]","Echue &gt; 90")))))</f>
        <v>Echue [31;60]</v>
      </c>
      <c r="O98" s="2" t="str">
        <f>+Tableau3[[#This Row],[Mois]]</f>
        <v>avril</v>
      </c>
      <c r="P98" s="2" t="s">
        <v>175</v>
      </c>
      <c r="U98" s="1">
        <f>IFERROR(MONTH(DetteFrs[Date Saisie]),"")</f>
        <v>4</v>
      </c>
      <c r="V98" s="1" t="str">
        <f>TEXT(DetteFrs[Date Saisie],"mmmm")</f>
        <v>avril</v>
      </c>
      <c r="W98" s="1" t="str">
        <f>TEXT(DetteFrs[Date Saisie],"yyyy")</f>
        <v>2025</v>
      </c>
    </row>
    <row r="99" spans="3:23" ht="16.5" x14ac:dyDescent="0.25">
      <c r="C99" s="29">
        <v>45769</v>
      </c>
      <c r="D99" s="21">
        <v>29395</v>
      </c>
      <c r="E99" s="8" t="str">
        <f>IFERROR(VLOOKUP(DetteFrs[N°Tiers],Tableau5[[N°tiers]:[Fournisseur]],2,FALSE),"")</f>
        <v>CCIS</v>
      </c>
      <c r="F99" s="23" t="str">
        <f>VLOOKUP(DetteFrs[Fournisseur],Tableau5[[Fournisseur]:[Catégorie]],2,FALSE)</f>
        <v>FRS METIERS</v>
      </c>
      <c r="G99" s="21">
        <v>4011100499</v>
      </c>
      <c r="H99" s="25">
        <v>59000</v>
      </c>
      <c r="I99" s="25" t="str">
        <f>IFERROR(VLOOKUP(DetteFrs[N°Facture],ReglFrs[],7,FALSE),"0")</f>
        <v>0</v>
      </c>
      <c r="J99" s="25">
        <f>IFERROR(DetteFrs[[#This Row],[Net à Payer]]-DetteFrs[[#This Row],[Montant Payé]],"")</f>
        <v>59000</v>
      </c>
      <c r="K99" s="24">
        <v>45779</v>
      </c>
      <c r="L99" s="28">
        <f ca="1">IF(DetteFrs[Solde]=0,"",(TODAY()-DetteFrs[[#This Row],[Échéance]]))</f>
        <v>50</v>
      </c>
      <c r="M99" s="22" t="str">
        <f ca="1">IF(DetteFrs[Retard]="","Payé",IF(DetteFrs[Retard]&lt;=0,"Non Echue",IF(DetteFrs[Retard]&lt;=30,"Echue [1;30]",IF(DetteFrs[Retard]&lt;=60,"Echue [31;60]",IF(DetteFrs[Retard]&lt;=90,"Echue [61;90]","Echue &gt; 90")))))</f>
        <v>Echue [31;60]</v>
      </c>
      <c r="O99" s="2" t="str">
        <f>+Tableau3[[#This Row],[Mois]]</f>
        <v>avril</v>
      </c>
      <c r="P99" s="2" t="s">
        <v>175</v>
      </c>
      <c r="U99" s="1">
        <f>IFERROR(MONTH(DetteFrs[Date Saisie]),"")</f>
        <v>4</v>
      </c>
      <c r="V99" s="1" t="str">
        <f>TEXT(DetteFrs[Date Saisie],"mmmm")</f>
        <v>avril</v>
      </c>
      <c r="W99" s="1" t="str">
        <f>TEXT(DetteFrs[Date Saisie],"yyyy")</f>
        <v>2025</v>
      </c>
    </row>
    <row r="100" spans="3:23" ht="16.5" x14ac:dyDescent="0.25">
      <c r="C100" s="29">
        <v>45769</v>
      </c>
      <c r="D100" s="21">
        <v>29388</v>
      </c>
      <c r="E100" s="8" t="str">
        <f>IFERROR(VLOOKUP(DetteFrs[N°Tiers],Tableau5[[N°tiers]:[Fournisseur]],2,FALSE),"")</f>
        <v>CCIS</v>
      </c>
      <c r="F100" s="23" t="str">
        <f>VLOOKUP(DetteFrs[Fournisseur],Tableau5[[Fournisseur]:[Catégorie]],2,FALSE)</f>
        <v>FRS METIERS</v>
      </c>
      <c r="G100" s="21">
        <v>4011100499</v>
      </c>
      <c r="H100" s="25">
        <v>158260</v>
      </c>
      <c r="I100" s="25" t="str">
        <f>IFERROR(VLOOKUP(DetteFrs[N°Facture],ReglFrs[],7,FALSE),"0")</f>
        <v>0</v>
      </c>
      <c r="J100" s="25">
        <f>IFERROR(DetteFrs[[#This Row],[Net à Payer]]-DetteFrs[[#This Row],[Montant Payé]],"")</f>
        <v>158260</v>
      </c>
      <c r="K100" s="24">
        <v>45779</v>
      </c>
      <c r="L100" s="28">
        <f ca="1">IF(DetteFrs[Solde]=0,"",(TODAY()-DetteFrs[[#This Row],[Échéance]]))</f>
        <v>50</v>
      </c>
      <c r="M100" s="22" t="str">
        <f ca="1">IF(DetteFrs[Retard]="","Payé",IF(DetteFrs[Retard]&lt;=0,"Non Echue",IF(DetteFrs[Retard]&lt;=30,"Echue [1;30]",IF(DetteFrs[Retard]&lt;=60,"Echue [31;60]",IF(DetteFrs[Retard]&lt;=90,"Echue [61;90]","Echue &gt; 90")))))</f>
        <v>Echue [31;60]</v>
      </c>
      <c r="O100" s="2" t="str">
        <f>+Tableau3[[#This Row],[Mois]]</f>
        <v>avril</v>
      </c>
      <c r="P100" s="2" t="s">
        <v>175</v>
      </c>
      <c r="U100" s="1">
        <f>IFERROR(MONTH(DetteFrs[Date Saisie]),"")</f>
        <v>4</v>
      </c>
      <c r="V100" s="1" t="str">
        <f>TEXT(DetteFrs[Date Saisie],"mmmm")</f>
        <v>avril</v>
      </c>
      <c r="W100" s="1" t="str">
        <f>TEXT(DetteFrs[Date Saisie],"yyyy")</f>
        <v>2025</v>
      </c>
    </row>
    <row r="101" spans="3:23" ht="16.5" x14ac:dyDescent="0.25">
      <c r="C101" s="29">
        <v>45769</v>
      </c>
      <c r="D101" s="21">
        <v>29389</v>
      </c>
      <c r="E101" s="8" t="str">
        <f>IFERROR(VLOOKUP(DetteFrs[N°Tiers],Tableau5[[N°tiers]:[Fournisseur]],2,FALSE),"")</f>
        <v>CCIS</v>
      </c>
      <c r="F101" s="23" t="str">
        <f>VLOOKUP(DetteFrs[Fournisseur],Tableau5[[Fournisseur]:[Catégorie]],2,FALSE)</f>
        <v>FRS METIERS</v>
      </c>
      <c r="G101" s="21">
        <v>4011100499</v>
      </c>
      <c r="H101" s="25">
        <v>59000</v>
      </c>
      <c r="I101" s="25" t="str">
        <f>IFERROR(VLOOKUP(DetteFrs[N°Facture],ReglFrs[],7,FALSE),"0")</f>
        <v>0</v>
      </c>
      <c r="J101" s="25">
        <f>IFERROR(DetteFrs[[#This Row],[Net à Payer]]-DetteFrs[[#This Row],[Montant Payé]],"")</f>
        <v>59000</v>
      </c>
      <c r="K101" s="24">
        <v>45779</v>
      </c>
      <c r="L101" s="28">
        <f ca="1">IF(DetteFrs[Solde]=0,"",(TODAY()-DetteFrs[[#This Row],[Échéance]]))</f>
        <v>50</v>
      </c>
      <c r="M101" s="22" t="str">
        <f ca="1">IF(DetteFrs[Retard]="","Payé",IF(DetteFrs[Retard]&lt;=0,"Non Echue",IF(DetteFrs[Retard]&lt;=30,"Echue [1;30]",IF(DetteFrs[Retard]&lt;=60,"Echue [31;60]",IF(DetteFrs[Retard]&lt;=90,"Echue [61;90]","Echue &gt; 90")))))</f>
        <v>Echue [31;60]</v>
      </c>
      <c r="O101" s="2" t="str">
        <f>+Tableau3[[#This Row],[Mois]]</f>
        <v>avril</v>
      </c>
      <c r="P101" s="2" t="s">
        <v>175</v>
      </c>
      <c r="U101" s="1">
        <f>IFERROR(MONTH(DetteFrs[Date Saisie]),"")</f>
        <v>4</v>
      </c>
      <c r="V101" s="1" t="str">
        <f>TEXT(DetteFrs[Date Saisie],"mmmm")</f>
        <v>avril</v>
      </c>
      <c r="W101" s="1" t="str">
        <f>TEXT(DetteFrs[Date Saisie],"yyyy")</f>
        <v>2025</v>
      </c>
    </row>
    <row r="102" spans="3:23" ht="16.5" x14ac:dyDescent="0.25">
      <c r="C102" s="29">
        <v>45769</v>
      </c>
      <c r="D102" s="21">
        <v>29398</v>
      </c>
      <c r="E102" s="8" t="str">
        <f>IFERROR(VLOOKUP(DetteFrs[N°Tiers],Tableau5[[N°tiers]:[Fournisseur]],2,FALSE),"")</f>
        <v>CCIS</v>
      </c>
      <c r="F102" s="23" t="str">
        <f>VLOOKUP(DetteFrs[Fournisseur],Tableau5[[Fournisseur]:[Catégorie]],2,FALSE)</f>
        <v>FRS METIERS</v>
      </c>
      <c r="G102" s="21">
        <v>4011100499</v>
      </c>
      <c r="H102" s="25">
        <v>158260</v>
      </c>
      <c r="I102" s="25" t="str">
        <f>IFERROR(VLOOKUP(DetteFrs[N°Facture],ReglFrs[],7,FALSE),"0")</f>
        <v>0</v>
      </c>
      <c r="J102" s="25">
        <f>IFERROR(DetteFrs[[#This Row],[Net à Payer]]-DetteFrs[[#This Row],[Montant Payé]],"")</f>
        <v>158260</v>
      </c>
      <c r="K102" s="24">
        <v>45779</v>
      </c>
      <c r="L102" s="28">
        <f ca="1">IF(DetteFrs[Solde]=0,"",(TODAY()-DetteFrs[[#This Row],[Échéance]]))</f>
        <v>50</v>
      </c>
      <c r="M102" s="22" t="str">
        <f ca="1">IF(DetteFrs[Retard]="","Payé",IF(DetteFrs[Retard]&lt;=0,"Non Echue",IF(DetteFrs[Retard]&lt;=30,"Echue [1;30]",IF(DetteFrs[Retard]&lt;=60,"Echue [31;60]",IF(DetteFrs[Retard]&lt;=90,"Echue [61;90]","Echue &gt; 90")))))</f>
        <v>Echue [31;60]</v>
      </c>
      <c r="O102" s="2" t="str">
        <f>+Tableau3[[#This Row],[Mois]]</f>
        <v>avril</v>
      </c>
      <c r="P102" s="2" t="s">
        <v>175</v>
      </c>
      <c r="U102" s="1">
        <f>IFERROR(MONTH(DetteFrs[Date Saisie]),"")</f>
        <v>4</v>
      </c>
      <c r="V102" s="1" t="str">
        <f>TEXT(DetteFrs[Date Saisie],"mmmm")</f>
        <v>avril</v>
      </c>
      <c r="W102" s="1" t="str">
        <f>TEXT(DetteFrs[Date Saisie],"yyyy")</f>
        <v>2025</v>
      </c>
    </row>
    <row r="103" spans="3:23" ht="16.5" x14ac:dyDescent="0.25">
      <c r="C103" s="29">
        <v>45769</v>
      </c>
      <c r="D103" s="21">
        <v>29399</v>
      </c>
      <c r="E103" s="8" t="str">
        <f>IFERROR(VLOOKUP(DetteFrs[N°Tiers],Tableau5[[N°tiers]:[Fournisseur]],2,FALSE),"")</f>
        <v>CCIS</v>
      </c>
      <c r="F103" s="23" t="str">
        <f>VLOOKUP(DetteFrs[Fournisseur],Tableau5[[Fournisseur]:[Catégorie]],2,FALSE)</f>
        <v>FRS METIERS</v>
      </c>
      <c r="G103" s="21">
        <v>4011100499</v>
      </c>
      <c r="H103" s="25">
        <v>59000</v>
      </c>
      <c r="I103" s="25" t="str">
        <f>IFERROR(VLOOKUP(DetteFrs[N°Facture],ReglFrs[],7,FALSE),"0")</f>
        <v>0</v>
      </c>
      <c r="J103" s="25">
        <f>IFERROR(DetteFrs[[#This Row],[Net à Payer]]-DetteFrs[[#This Row],[Montant Payé]],"")</f>
        <v>59000</v>
      </c>
      <c r="K103" s="24">
        <v>45779</v>
      </c>
      <c r="L103" s="28">
        <f ca="1">IF(DetteFrs[Solde]=0,"",(TODAY()-DetteFrs[[#This Row],[Échéance]]))</f>
        <v>50</v>
      </c>
      <c r="M103" s="22" t="str">
        <f ca="1">IF(DetteFrs[Retard]="","Payé",IF(DetteFrs[Retard]&lt;=0,"Non Echue",IF(DetteFrs[Retard]&lt;=30,"Echue [1;30]",IF(DetteFrs[Retard]&lt;=60,"Echue [31;60]",IF(DetteFrs[Retard]&lt;=90,"Echue [61;90]","Echue &gt; 90")))))</f>
        <v>Echue [31;60]</v>
      </c>
      <c r="O103" s="2" t="str">
        <f>+Tableau3[[#This Row],[Mois]]</f>
        <v>avril</v>
      </c>
      <c r="P103" s="2" t="s">
        <v>175</v>
      </c>
      <c r="U103" s="1">
        <f>IFERROR(MONTH(DetteFrs[Date Saisie]),"")</f>
        <v>4</v>
      </c>
      <c r="V103" s="1" t="str">
        <f>TEXT(DetteFrs[Date Saisie],"mmmm")</f>
        <v>avril</v>
      </c>
      <c r="W103" s="1" t="str">
        <f>TEXT(DetteFrs[Date Saisie],"yyyy")</f>
        <v>2025</v>
      </c>
    </row>
    <row r="104" spans="3:23" ht="16.5" x14ac:dyDescent="0.25">
      <c r="C104" s="29">
        <v>45769</v>
      </c>
      <c r="D104" s="21">
        <v>29390</v>
      </c>
      <c r="E104" s="8" t="str">
        <f>IFERROR(VLOOKUP(DetteFrs[N°Tiers],Tableau5[[N°tiers]:[Fournisseur]],2,FALSE),"")</f>
        <v>CCIS</v>
      </c>
      <c r="F104" s="23" t="str">
        <f>VLOOKUP(DetteFrs[Fournisseur],Tableau5[[Fournisseur]:[Catégorie]],2,FALSE)</f>
        <v>FRS METIERS</v>
      </c>
      <c r="G104" s="21">
        <v>4011100499</v>
      </c>
      <c r="H104" s="25">
        <v>391900</v>
      </c>
      <c r="I104" s="25" t="str">
        <f>IFERROR(VLOOKUP(DetteFrs[N°Facture],ReglFrs[],7,FALSE),"0")</f>
        <v>0</v>
      </c>
      <c r="J104" s="25">
        <f>IFERROR(DetteFrs[[#This Row],[Net à Payer]]-DetteFrs[[#This Row],[Montant Payé]],"")</f>
        <v>391900</v>
      </c>
      <c r="K104" s="24">
        <v>45779</v>
      </c>
      <c r="L104" s="28">
        <f ca="1">IF(DetteFrs[Solde]=0,"",(TODAY()-DetteFrs[[#This Row],[Échéance]]))</f>
        <v>50</v>
      </c>
      <c r="M104" s="22" t="str">
        <f ca="1">IF(DetteFrs[Retard]="","Payé",IF(DetteFrs[Retard]&lt;=0,"Non Echue",IF(DetteFrs[Retard]&lt;=30,"Echue [1;30]",IF(DetteFrs[Retard]&lt;=60,"Echue [31;60]",IF(DetteFrs[Retard]&lt;=90,"Echue [61;90]","Echue &gt; 90")))))</f>
        <v>Echue [31;60]</v>
      </c>
      <c r="O104" s="2" t="str">
        <f>+Tableau3[[#This Row],[Mois]]</f>
        <v>avril</v>
      </c>
      <c r="P104" s="2" t="s">
        <v>175</v>
      </c>
      <c r="U104" s="1">
        <f>IFERROR(MONTH(DetteFrs[Date Saisie]),"")</f>
        <v>4</v>
      </c>
      <c r="V104" s="1" t="str">
        <f>TEXT(DetteFrs[Date Saisie],"mmmm")</f>
        <v>avril</v>
      </c>
      <c r="W104" s="1" t="str">
        <f>TEXT(DetteFrs[Date Saisie],"yyyy")</f>
        <v>2025</v>
      </c>
    </row>
    <row r="105" spans="3:23" ht="16.5" x14ac:dyDescent="0.25">
      <c r="C105" s="29">
        <v>45769</v>
      </c>
      <c r="D105" s="21">
        <v>29391</v>
      </c>
      <c r="E105" s="8" t="str">
        <f>IFERROR(VLOOKUP(DetteFrs[N°Tiers],Tableau5[[N°tiers]:[Fournisseur]],2,FALSE),"")</f>
        <v>CCIS</v>
      </c>
      <c r="F105" s="23" t="str">
        <f>VLOOKUP(DetteFrs[Fournisseur],Tableau5[[Fournisseur]:[Catégorie]],2,FALSE)</f>
        <v>FRS METIERS</v>
      </c>
      <c r="G105" s="21">
        <v>4011100499</v>
      </c>
      <c r="H105" s="25">
        <v>59000</v>
      </c>
      <c r="I105" s="25" t="str">
        <f>IFERROR(VLOOKUP(DetteFrs[N°Facture],ReglFrs[],7,FALSE),"0")</f>
        <v>0</v>
      </c>
      <c r="J105" s="25">
        <f>IFERROR(DetteFrs[[#This Row],[Net à Payer]]-DetteFrs[[#This Row],[Montant Payé]],"")</f>
        <v>59000</v>
      </c>
      <c r="K105" s="24">
        <v>45779</v>
      </c>
      <c r="L105" s="28">
        <f ca="1">IF(DetteFrs[Solde]=0,"",(TODAY()-DetteFrs[[#This Row],[Échéance]]))</f>
        <v>50</v>
      </c>
      <c r="M105" s="22" t="str">
        <f ca="1">IF(DetteFrs[Retard]="","Payé",IF(DetteFrs[Retard]&lt;=0,"Non Echue",IF(DetteFrs[Retard]&lt;=30,"Echue [1;30]",IF(DetteFrs[Retard]&lt;=60,"Echue [31;60]",IF(DetteFrs[Retard]&lt;=90,"Echue [61;90]","Echue &gt; 90")))))</f>
        <v>Echue [31;60]</v>
      </c>
      <c r="O105" s="2" t="str">
        <f>+Tableau3[[#This Row],[Mois]]</f>
        <v>avril</v>
      </c>
      <c r="P105" s="2" t="s">
        <v>175</v>
      </c>
      <c r="U105" s="1">
        <f>IFERROR(MONTH(DetteFrs[Date Saisie]),"")</f>
        <v>4</v>
      </c>
      <c r="V105" s="1" t="str">
        <f>TEXT(DetteFrs[Date Saisie],"mmmm")</f>
        <v>avril</v>
      </c>
      <c r="W105" s="1" t="str">
        <f>TEXT(DetteFrs[Date Saisie],"yyyy")</f>
        <v>2025</v>
      </c>
    </row>
    <row r="106" spans="3:23" ht="16.5" x14ac:dyDescent="0.25">
      <c r="C106" s="29">
        <v>45769</v>
      </c>
      <c r="D106" s="21">
        <v>29396</v>
      </c>
      <c r="E106" s="8" t="str">
        <f>IFERROR(VLOOKUP(DetteFrs[N°Tiers],Tableau5[[N°tiers]:[Fournisseur]],2,FALSE),"")</f>
        <v>CCIS</v>
      </c>
      <c r="F106" s="23" t="str">
        <f>VLOOKUP(DetteFrs[Fournisseur],Tableau5[[Fournisseur]:[Catégorie]],2,FALSE)</f>
        <v>FRS METIERS</v>
      </c>
      <c r="G106" s="21">
        <v>4011100499</v>
      </c>
      <c r="H106" s="25">
        <v>158260</v>
      </c>
      <c r="I106" s="25" t="str">
        <f>IFERROR(VLOOKUP(DetteFrs[N°Facture],ReglFrs[],7,FALSE),"0")</f>
        <v>0</v>
      </c>
      <c r="J106" s="25">
        <f>IFERROR(DetteFrs[[#This Row],[Net à Payer]]-DetteFrs[[#This Row],[Montant Payé]],"")</f>
        <v>158260</v>
      </c>
      <c r="K106" s="24">
        <v>45779</v>
      </c>
      <c r="L106" s="28">
        <f ca="1">IF(DetteFrs[Solde]=0,"",(TODAY()-DetteFrs[[#This Row],[Échéance]]))</f>
        <v>50</v>
      </c>
      <c r="M106" s="22" t="str">
        <f ca="1">IF(DetteFrs[Retard]="","Payé",IF(DetteFrs[Retard]&lt;=0,"Non Echue",IF(DetteFrs[Retard]&lt;=30,"Echue [1;30]",IF(DetteFrs[Retard]&lt;=60,"Echue [31;60]",IF(DetteFrs[Retard]&lt;=90,"Echue [61;90]","Echue &gt; 90")))))</f>
        <v>Echue [31;60]</v>
      </c>
      <c r="O106" s="2" t="str">
        <f>+Tableau3[[#This Row],[Mois]]</f>
        <v>avril</v>
      </c>
      <c r="P106" s="2" t="s">
        <v>175</v>
      </c>
      <c r="U106" s="1">
        <f>IFERROR(MONTH(DetteFrs[Date Saisie]),"")</f>
        <v>4</v>
      </c>
      <c r="V106" s="1" t="str">
        <f>TEXT(DetteFrs[Date Saisie],"mmmm")</f>
        <v>avril</v>
      </c>
      <c r="W106" s="1" t="str">
        <f>TEXT(DetteFrs[Date Saisie],"yyyy")</f>
        <v>2025</v>
      </c>
    </row>
    <row r="107" spans="3:23" ht="16.5" x14ac:dyDescent="0.25">
      <c r="C107" s="29">
        <v>45769</v>
      </c>
      <c r="D107" s="21">
        <v>29392</v>
      </c>
      <c r="E107" s="8" t="str">
        <f>IFERROR(VLOOKUP(DetteFrs[N°Tiers],Tableau5[[N°tiers]:[Fournisseur]],2,FALSE),"")</f>
        <v>CCIS</v>
      </c>
      <c r="F107" s="23" t="str">
        <f>VLOOKUP(DetteFrs[Fournisseur],Tableau5[[Fournisseur]:[Catégorie]],2,FALSE)</f>
        <v>FRS METIERS</v>
      </c>
      <c r="G107" s="21">
        <v>4011100499</v>
      </c>
      <c r="H107" s="25">
        <v>472280</v>
      </c>
      <c r="I107" s="25" t="str">
        <f>IFERROR(VLOOKUP(DetteFrs[N°Facture],ReglFrs[],7,FALSE),"0")</f>
        <v>0</v>
      </c>
      <c r="J107" s="25">
        <f>IFERROR(DetteFrs[[#This Row],[Net à Payer]]-DetteFrs[[#This Row],[Montant Payé]],"")</f>
        <v>472280</v>
      </c>
      <c r="K107" s="24">
        <v>45779</v>
      </c>
      <c r="L107" s="28">
        <f ca="1">IF(DetteFrs[Solde]=0,"",(TODAY()-DetteFrs[[#This Row],[Échéance]]))</f>
        <v>50</v>
      </c>
      <c r="M107" s="22" t="str">
        <f ca="1">IF(DetteFrs[Retard]="","Payé",IF(DetteFrs[Retard]&lt;=0,"Non Echue",IF(DetteFrs[Retard]&lt;=30,"Echue [1;30]",IF(DetteFrs[Retard]&lt;=60,"Echue [31;60]",IF(DetteFrs[Retard]&lt;=90,"Echue [61;90]","Echue &gt; 90")))))</f>
        <v>Echue [31;60]</v>
      </c>
      <c r="O107" s="2" t="str">
        <f>+Tableau3[[#This Row],[Mois]]</f>
        <v>avril</v>
      </c>
      <c r="P107" s="2" t="s">
        <v>175</v>
      </c>
      <c r="U107" s="1">
        <f>IFERROR(MONTH(DetteFrs[Date Saisie]),"")</f>
        <v>4</v>
      </c>
      <c r="V107" s="1" t="str">
        <f>TEXT(DetteFrs[Date Saisie],"mmmm")</f>
        <v>avril</v>
      </c>
      <c r="W107" s="1" t="str">
        <f>TEXT(DetteFrs[Date Saisie],"yyyy")</f>
        <v>2025</v>
      </c>
    </row>
    <row r="108" spans="3:23" ht="16.5" x14ac:dyDescent="0.25">
      <c r="C108" s="29">
        <v>45769</v>
      </c>
      <c r="D108" s="21">
        <v>29393</v>
      </c>
      <c r="E108" s="8" t="str">
        <f>IFERROR(VLOOKUP(DetteFrs[N°Tiers],Tableau5[[N°tiers]:[Fournisseur]],2,FALSE),"")</f>
        <v>CCIS</v>
      </c>
      <c r="F108" s="23" t="str">
        <f>VLOOKUP(DetteFrs[Fournisseur],Tableau5[[Fournisseur]:[Catégorie]],2,FALSE)</f>
        <v>FRS METIERS</v>
      </c>
      <c r="G108" s="21">
        <v>4011100499</v>
      </c>
      <c r="H108" s="25">
        <v>118000</v>
      </c>
      <c r="I108" s="25" t="str">
        <f>IFERROR(VLOOKUP(DetteFrs[N°Facture],ReglFrs[],7,FALSE),"0")</f>
        <v>0</v>
      </c>
      <c r="J108" s="25">
        <f>IFERROR(DetteFrs[[#This Row],[Net à Payer]]-DetteFrs[[#This Row],[Montant Payé]],"")</f>
        <v>118000</v>
      </c>
      <c r="K108" s="24">
        <v>45779</v>
      </c>
      <c r="L108" s="28">
        <f ca="1">IF(DetteFrs[Solde]=0,"",(TODAY()-DetteFrs[[#This Row],[Échéance]]))</f>
        <v>50</v>
      </c>
      <c r="M108" s="22" t="str">
        <f ca="1">IF(DetteFrs[Retard]="","Payé",IF(DetteFrs[Retard]&lt;=0,"Non Echue",IF(DetteFrs[Retard]&lt;=30,"Echue [1;30]",IF(DetteFrs[Retard]&lt;=60,"Echue [31;60]",IF(DetteFrs[Retard]&lt;=90,"Echue [61;90]","Echue &gt; 90")))))</f>
        <v>Echue [31;60]</v>
      </c>
      <c r="O108" s="2" t="str">
        <f>+Tableau3[[#This Row],[Mois]]</f>
        <v>avril</v>
      </c>
      <c r="P108" s="2" t="s">
        <v>175</v>
      </c>
      <c r="U108" s="1">
        <f>IFERROR(MONTH(DetteFrs[Date Saisie]),"")</f>
        <v>4</v>
      </c>
      <c r="V108" s="1" t="str">
        <f>TEXT(DetteFrs[Date Saisie],"mmmm")</f>
        <v>avril</v>
      </c>
      <c r="W108" s="1" t="str">
        <f>TEXT(DetteFrs[Date Saisie],"yyyy")</f>
        <v>2025</v>
      </c>
    </row>
    <row r="109" spans="3:23" ht="16.5" x14ac:dyDescent="0.25">
      <c r="C109" s="29">
        <v>45769</v>
      </c>
      <c r="D109" s="21">
        <v>29404</v>
      </c>
      <c r="E109" s="8" t="str">
        <f>IFERROR(VLOOKUP(DetteFrs[N°Tiers],Tableau5[[N°tiers]:[Fournisseur]],2,FALSE),"")</f>
        <v>CCIS</v>
      </c>
      <c r="F109" s="23" t="str">
        <f>VLOOKUP(DetteFrs[Fournisseur],Tableau5[[Fournisseur]:[Catégorie]],2,FALSE)</f>
        <v>FRS METIERS</v>
      </c>
      <c r="G109" s="21">
        <v>4011100499</v>
      </c>
      <c r="H109" s="25">
        <v>1180700</v>
      </c>
      <c r="I109" s="25" t="str">
        <f>IFERROR(VLOOKUP(DetteFrs[N°Facture],ReglFrs[],7,FALSE),"0")</f>
        <v>0</v>
      </c>
      <c r="J109" s="25">
        <f>IFERROR(DetteFrs[[#This Row],[Net à Payer]]-DetteFrs[[#This Row],[Montant Payé]],"")</f>
        <v>1180700</v>
      </c>
      <c r="K109" s="24">
        <v>45779</v>
      </c>
      <c r="L109" s="28">
        <f ca="1">IF(DetteFrs[Solde]=0,"",(TODAY()-DetteFrs[[#This Row],[Échéance]]))</f>
        <v>50</v>
      </c>
      <c r="M109" s="22" t="str">
        <f ca="1">IF(DetteFrs[Retard]="","Payé",IF(DetteFrs[Retard]&lt;=0,"Non Echue",IF(DetteFrs[Retard]&lt;=30,"Echue [1;30]",IF(DetteFrs[Retard]&lt;=60,"Echue [31;60]",IF(DetteFrs[Retard]&lt;=90,"Echue [61;90]","Echue &gt; 90")))))</f>
        <v>Echue [31;60]</v>
      </c>
      <c r="O109" s="2" t="str">
        <f>+Tableau3[[#This Row],[Mois]]</f>
        <v>avril</v>
      </c>
      <c r="P109" s="2" t="s">
        <v>175</v>
      </c>
      <c r="U109" s="1">
        <f>IFERROR(MONTH(DetteFrs[Date Saisie]),"")</f>
        <v>4</v>
      </c>
      <c r="V109" s="1" t="str">
        <f>TEXT(DetteFrs[Date Saisie],"mmmm")</f>
        <v>avril</v>
      </c>
      <c r="W109" s="1" t="str">
        <f>TEXT(DetteFrs[Date Saisie],"yyyy")</f>
        <v>2025</v>
      </c>
    </row>
    <row r="110" spans="3:23" ht="16.5" x14ac:dyDescent="0.25">
      <c r="C110" s="29">
        <v>45769</v>
      </c>
      <c r="D110" s="21">
        <v>29405</v>
      </c>
      <c r="E110" s="8" t="str">
        <f>IFERROR(VLOOKUP(DetteFrs[N°Tiers],Tableau5[[N°tiers]:[Fournisseur]],2,FALSE),"")</f>
        <v>CCIS</v>
      </c>
      <c r="F110" s="23" t="str">
        <f>VLOOKUP(DetteFrs[Fournisseur],Tableau5[[Fournisseur]:[Catégorie]],2,FALSE)</f>
        <v>FRS METIERS</v>
      </c>
      <c r="G110" s="21">
        <v>4011100499</v>
      </c>
      <c r="H110" s="25">
        <v>295000</v>
      </c>
      <c r="I110" s="25" t="str">
        <f>IFERROR(VLOOKUP(DetteFrs[N°Facture],ReglFrs[],7,FALSE),"0")</f>
        <v>0</v>
      </c>
      <c r="J110" s="25">
        <f>IFERROR(DetteFrs[[#This Row],[Net à Payer]]-DetteFrs[[#This Row],[Montant Payé]],"")</f>
        <v>295000</v>
      </c>
      <c r="K110" s="24">
        <v>45779</v>
      </c>
      <c r="L110" s="28">
        <f ca="1">IF(DetteFrs[Solde]=0,"",(TODAY()-DetteFrs[[#This Row],[Échéance]]))</f>
        <v>50</v>
      </c>
      <c r="M110" s="22" t="str">
        <f ca="1">IF(DetteFrs[Retard]="","Payé",IF(DetteFrs[Retard]&lt;=0,"Non Echue",IF(DetteFrs[Retard]&lt;=30,"Echue [1;30]",IF(DetteFrs[Retard]&lt;=60,"Echue [31;60]",IF(DetteFrs[Retard]&lt;=90,"Echue [61;90]","Echue &gt; 90")))))</f>
        <v>Echue [31;60]</v>
      </c>
      <c r="O110" s="2" t="str">
        <f>+Tableau3[[#This Row],[Mois]]</f>
        <v>avril</v>
      </c>
      <c r="P110" s="2" t="s">
        <v>175</v>
      </c>
      <c r="U110" s="1">
        <f>IFERROR(MONTH(DetteFrs[Date Saisie]),"")</f>
        <v>4</v>
      </c>
      <c r="V110" s="1" t="str">
        <f>TEXT(DetteFrs[Date Saisie],"mmmm")</f>
        <v>avril</v>
      </c>
      <c r="W110" s="1" t="str">
        <f>TEXT(DetteFrs[Date Saisie],"yyyy")</f>
        <v>2025</v>
      </c>
    </row>
    <row r="111" spans="3:23" ht="16.5" x14ac:dyDescent="0.25">
      <c r="C111" s="29">
        <v>45769</v>
      </c>
      <c r="D111" s="21">
        <v>29406</v>
      </c>
      <c r="E111" s="8" t="str">
        <f>IFERROR(VLOOKUP(DetteFrs[N°Tiers],Tableau5[[N°tiers]:[Fournisseur]],2,FALSE),"")</f>
        <v>CCIS</v>
      </c>
      <c r="F111" s="23" t="str">
        <f>VLOOKUP(DetteFrs[Fournisseur],Tableau5[[Fournisseur]:[Catégorie]],2,FALSE)</f>
        <v>FRS METIERS</v>
      </c>
      <c r="G111" s="21">
        <v>4011100499</v>
      </c>
      <c r="H111" s="25">
        <v>236140</v>
      </c>
      <c r="I111" s="25" t="str">
        <f>IFERROR(VLOOKUP(DetteFrs[N°Facture],ReglFrs[],7,FALSE),"0")</f>
        <v>0</v>
      </c>
      <c r="J111" s="25">
        <f>IFERROR(DetteFrs[[#This Row],[Net à Payer]]-DetteFrs[[#This Row],[Montant Payé]],"")</f>
        <v>236140</v>
      </c>
      <c r="K111" s="24">
        <v>45779</v>
      </c>
      <c r="L111" s="28">
        <f ca="1">IF(DetteFrs[Solde]=0,"",(TODAY()-DetteFrs[[#This Row],[Échéance]]))</f>
        <v>50</v>
      </c>
      <c r="M111" s="22" t="str">
        <f ca="1">IF(DetteFrs[Retard]="","Payé",IF(DetteFrs[Retard]&lt;=0,"Non Echue",IF(DetteFrs[Retard]&lt;=30,"Echue [1;30]",IF(DetteFrs[Retard]&lt;=60,"Echue [31;60]",IF(DetteFrs[Retard]&lt;=90,"Echue [61;90]","Echue &gt; 90")))))</f>
        <v>Echue [31;60]</v>
      </c>
      <c r="O111" s="2" t="str">
        <f>+Tableau3[[#This Row],[Mois]]</f>
        <v>avril</v>
      </c>
      <c r="P111" s="2" t="s">
        <v>175</v>
      </c>
      <c r="U111" s="1">
        <f>IFERROR(MONTH(DetteFrs[Date Saisie]),"")</f>
        <v>4</v>
      </c>
      <c r="V111" s="1" t="str">
        <f>TEXT(DetteFrs[Date Saisie],"mmmm")</f>
        <v>avril</v>
      </c>
      <c r="W111" s="1" t="str">
        <f>TEXT(DetteFrs[Date Saisie],"yyyy")</f>
        <v>2025</v>
      </c>
    </row>
    <row r="112" spans="3:23" ht="16.5" x14ac:dyDescent="0.25">
      <c r="C112" s="29">
        <v>45769</v>
      </c>
      <c r="D112" s="21">
        <v>29407</v>
      </c>
      <c r="E112" s="8" t="str">
        <f>IFERROR(VLOOKUP(DetteFrs[N°Tiers],Tableau5[[N°tiers]:[Fournisseur]],2,FALSE),"")</f>
        <v>CCIS</v>
      </c>
      <c r="F112" s="23" t="str">
        <f>VLOOKUP(DetteFrs[Fournisseur],Tableau5[[Fournisseur]:[Catégorie]],2,FALSE)</f>
        <v>FRS METIERS</v>
      </c>
      <c r="G112" s="21">
        <v>4011100499</v>
      </c>
      <c r="H112" s="25">
        <v>59000</v>
      </c>
      <c r="I112" s="25" t="str">
        <f>IFERROR(VLOOKUP(DetteFrs[N°Facture],ReglFrs[],7,FALSE),"0")</f>
        <v>0</v>
      </c>
      <c r="J112" s="25">
        <f>IFERROR(DetteFrs[[#This Row],[Net à Payer]]-DetteFrs[[#This Row],[Montant Payé]],"")</f>
        <v>59000</v>
      </c>
      <c r="K112" s="24">
        <v>45779</v>
      </c>
      <c r="L112" s="28">
        <f ca="1">IF(DetteFrs[Solde]=0,"",(TODAY()-DetteFrs[[#This Row],[Échéance]]))</f>
        <v>50</v>
      </c>
      <c r="M112" s="22" t="str">
        <f ca="1">IF(DetteFrs[Retard]="","Payé",IF(DetteFrs[Retard]&lt;=0,"Non Echue",IF(DetteFrs[Retard]&lt;=30,"Echue [1;30]",IF(DetteFrs[Retard]&lt;=60,"Echue [31;60]",IF(DetteFrs[Retard]&lt;=90,"Echue [61;90]","Echue &gt; 90")))))</f>
        <v>Echue [31;60]</v>
      </c>
      <c r="O112" s="2" t="str">
        <f>+Tableau3[[#This Row],[Mois]]</f>
        <v>avril</v>
      </c>
      <c r="P112" s="2" t="s">
        <v>175</v>
      </c>
      <c r="U112" s="1">
        <f>IFERROR(MONTH(DetteFrs[Date Saisie]),"")</f>
        <v>4</v>
      </c>
      <c r="V112" s="1" t="str">
        <f>TEXT(DetteFrs[Date Saisie],"mmmm")</f>
        <v>avril</v>
      </c>
      <c r="W112" s="1" t="str">
        <f>TEXT(DetteFrs[Date Saisie],"yyyy")</f>
        <v>2025</v>
      </c>
    </row>
    <row r="113" spans="3:23" ht="16.5" x14ac:dyDescent="0.25">
      <c r="C113" s="29">
        <v>45406</v>
      </c>
      <c r="D113" s="21">
        <v>32644</v>
      </c>
      <c r="E113" s="8" t="str">
        <f>IFERROR(VLOOKUP(DetteFrs[N°Tiers],Tableau5[[N°tiers]:[Fournisseur]],2,FALSE),"")</f>
        <v>CCIS</v>
      </c>
      <c r="F113" s="23" t="str">
        <f>VLOOKUP(DetteFrs[Fournisseur],Tableau5[[Fournisseur]:[Catégorie]],2,FALSE)</f>
        <v>FRS METIERS</v>
      </c>
      <c r="G113" s="21">
        <v>4011100499</v>
      </c>
      <c r="H113" s="25">
        <v>474780</v>
      </c>
      <c r="I113" s="25" t="str">
        <f>IFERROR(VLOOKUP(DetteFrs[N°Facture],ReglFrs[],7,FALSE),"0")</f>
        <v>0</v>
      </c>
      <c r="J113" s="25">
        <f>IFERROR(DetteFrs[[#This Row],[Net à Payer]]-DetteFrs[[#This Row],[Montant Payé]],"")</f>
        <v>474780</v>
      </c>
      <c r="K113" s="24">
        <v>45780</v>
      </c>
      <c r="L113" s="28">
        <f ca="1">IF(DetteFrs[Solde]=0,"",(TODAY()-DetteFrs[[#This Row],[Échéance]]))</f>
        <v>49</v>
      </c>
      <c r="M113" s="22" t="str">
        <f ca="1">IF(DetteFrs[Retard]="","Payé",IF(DetteFrs[Retard]&lt;=0,"Non Echue",IF(DetteFrs[Retard]&lt;=30,"Echue [1;30]",IF(DetteFrs[Retard]&lt;=60,"Echue [31;60]",IF(DetteFrs[Retard]&lt;=90,"Echue [61;90]","Echue &gt; 90")))))</f>
        <v>Echue [31;60]</v>
      </c>
      <c r="O113" s="2" t="str">
        <f>+Tableau3[[#This Row],[Mois]]</f>
        <v>avril</v>
      </c>
      <c r="P113" s="2" t="s">
        <v>176</v>
      </c>
      <c r="U113" s="1">
        <f>IFERROR(MONTH(DetteFrs[Date Saisie]),"")</f>
        <v>4</v>
      </c>
      <c r="V113" s="1" t="str">
        <f>TEXT(DetteFrs[Date Saisie],"mmmm")</f>
        <v>avril</v>
      </c>
      <c r="W113" s="1" t="str">
        <f>TEXT(DetteFrs[Date Saisie],"yyyy")</f>
        <v>2024</v>
      </c>
    </row>
    <row r="114" spans="3:23" ht="16.5" x14ac:dyDescent="0.25">
      <c r="C114" s="29">
        <v>45771</v>
      </c>
      <c r="D114" s="21" t="s">
        <v>159</v>
      </c>
      <c r="E114" s="8" t="str">
        <f>IFERROR(VLOOKUP(DetteFrs[N°Tiers],Tableau5[[N°tiers]:[Fournisseur]],2,FALSE),"")</f>
        <v>CCIS</v>
      </c>
      <c r="F114" s="23" t="str">
        <f>VLOOKUP(DetteFrs[Fournisseur],Tableau5[[Fournisseur]:[Catégorie]],2,FALSE)</f>
        <v>FRS METIERS</v>
      </c>
      <c r="G114" s="21">
        <v>4011100499</v>
      </c>
      <c r="H114" s="25">
        <v>236140</v>
      </c>
      <c r="I114" s="25" t="str">
        <f>IFERROR(VLOOKUP(DetteFrs[N°Facture],ReglFrs[],7,FALSE),"0")</f>
        <v>0</v>
      </c>
      <c r="J114" s="25">
        <f>IFERROR(DetteFrs[[#This Row],[Net à Payer]]-DetteFrs[[#This Row],[Montant Payé]],"")</f>
        <v>236140</v>
      </c>
      <c r="K114" s="24">
        <v>45771</v>
      </c>
      <c r="L114" s="28">
        <f ca="1">IF(DetteFrs[Solde]=0,"",(TODAY()-DetteFrs[[#This Row],[Échéance]]))</f>
        <v>58</v>
      </c>
      <c r="M114" s="22" t="str">
        <f ca="1">IF(DetteFrs[Retard]="","Payé",IF(DetteFrs[Retard]&lt;=0,"Non Echue",IF(DetteFrs[Retard]&lt;=30,"Echue [1;30]",IF(DetteFrs[Retard]&lt;=60,"Echue [31;60]",IF(DetteFrs[Retard]&lt;=90,"Echue [61;90]","Echue &gt; 90")))))</f>
        <v>Echue [31;60]</v>
      </c>
      <c r="O114" s="2" t="str">
        <f>+Tableau3[[#This Row],[Mois]]</f>
        <v>avril</v>
      </c>
      <c r="P114" s="2" t="s">
        <v>175</v>
      </c>
      <c r="U114" s="1">
        <f>IFERROR(MONTH(DetteFrs[Date Saisie]),"")</f>
        <v>4</v>
      </c>
      <c r="V114" s="1" t="str">
        <f>TEXT(DetteFrs[Date Saisie],"mmmm")</f>
        <v>avril</v>
      </c>
      <c r="W114" s="1" t="str">
        <f>TEXT(DetteFrs[Date Saisie],"yyyy")</f>
        <v>2025</v>
      </c>
    </row>
    <row r="115" spans="3:23" ht="16.5" x14ac:dyDescent="0.25">
      <c r="C115" s="29">
        <v>45771</v>
      </c>
      <c r="D115" s="21" t="s">
        <v>160</v>
      </c>
      <c r="E115" s="8" t="str">
        <f>IFERROR(VLOOKUP(DetteFrs[N°Tiers],Tableau5[[N°tiers]:[Fournisseur]],2,FALSE),"")</f>
        <v>CCIS</v>
      </c>
      <c r="F115" s="23" t="str">
        <f>VLOOKUP(DetteFrs[Fournisseur],Tableau5[[Fournisseur]:[Catégorie]],2,FALSE)</f>
        <v>FRS METIERS</v>
      </c>
      <c r="G115" s="21">
        <v>4011100499</v>
      </c>
      <c r="H115" s="25">
        <v>80380</v>
      </c>
      <c r="I115" s="25" t="str">
        <f>IFERROR(VLOOKUP(DetteFrs[N°Facture],ReglFrs[],7,FALSE),"0")</f>
        <v>0</v>
      </c>
      <c r="J115" s="25">
        <f>IFERROR(DetteFrs[[#This Row],[Net à Payer]]-DetteFrs[[#This Row],[Montant Payé]],"")</f>
        <v>80380</v>
      </c>
      <c r="K115" s="24">
        <v>45771</v>
      </c>
      <c r="L115" s="28">
        <f ca="1">IF(DetteFrs[Solde]=0,"",(TODAY()-DetteFrs[[#This Row],[Échéance]]))</f>
        <v>58</v>
      </c>
      <c r="M115" s="22" t="str">
        <f ca="1">IF(DetteFrs[Retard]="","Payé",IF(DetteFrs[Retard]&lt;=0,"Non Echue",IF(DetteFrs[Retard]&lt;=30,"Echue [1;30]",IF(DetteFrs[Retard]&lt;=60,"Echue [31;60]",IF(DetteFrs[Retard]&lt;=90,"Echue [61;90]","Echue &gt; 90")))))</f>
        <v>Echue [31;60]</v>
      </c>
      <c r="O115" s="2" t="str">
        <f>+Tableau3[[#This Row],[Mois]]</f>
        <v>avril</v>
      </c>
      <c r="P115" s="2" t="s">
        <v>175</v>
      </c>
      <c r="U115" s="1">
        <f>IFERROR(MONTH(DetteFrs[Date Saisie]),"")</f>
        <v>4</v>
      </c>
      <c r="V115" s="1" t="str">
        <f>TEXT(DetteFrs[Date Saisie],"mmmm")</f>
        <v>avril</v>
      </c>
      <c r="W115" s="1" t="str">
        <f>TEXT(DetteFrs[Date Saisie],"yyyy")</f>
        <v>2025</v>
      </c>
    </row>
    <row r="116" spans="3:23" ht="16.5" x14ac:dyDescent="0.25">
      <c r="C116" s="29">
        <v>45771</v>
      </c>
      <c r="D116" s="21" t="s">
        <v>161</v>
      </c>
      <c r="E116" s="8" t="str">
        <f>IFERROR(VLOOKUP(DetteFrs[N°Tiers],Tableau5[[N°tiers]:[Fournisseur]],2,FALSE),"")</f>
        <v>CCIS</v>
      </c>
      <c r="F116" s="23" t="str">
        <f>VLOOKUP(DetteFrs[Fournisseur],Tableau5[[Fournisseur]:[Catégorie]],2,FALSE)</f>
        <v>FRS METIERS</v>
      </c>
      <c r="G116" s="21">
        <v>4011100499</v>
      </c>
      <c r="H116" s="25">
        <v>59000</v>
      </c>
      <c r="I116" s="25" t="str">
        <f>IFERROR(VLOOKUP(DetteFrs[N°Facture],ReglFrs[],7,FALSE),"0")</f>
        <v>0</v>
      </c>
      <c r="J116" s="25">
        <f>IFERROR(DetteFrs[[#This Row],[Net à Payer]]-DetteFrs[[#This Row],[Montant Payé]],"")</f>
        <v>59000</v>
      </c>
      <c r="K116" s="24">
        <v>45771</v>
      </c>
      <c r="L116" s="28">
        <f ca="1">IF(DetteFrs[Solde]=0,"",(TODAY()-DetteFrs[[#This Row],[Échéance]]))</f>
        <v>58</v>
      </c>
      <c r="M116" s="22" t="str">
        <f ca="1">IF(DetteFrs[Retard]="","Payé",IF(DetteFrs[Retard]&lt;=0,"Non Echue",IF(DetteFrs[Retard]&lt;=30,"Echue [1;30]",IF(DetteFrs[Retard]&lt;=60,"Echue [31;60]",IF(DetteFrs[Retard]&lt;=90,"Echue [61;90]","Echue &gt; 90")))))</f>
        <v>Echue [31;60]</v>
      </c>
      <c r="O116" s="2" t="str">
        <f>+Tableau3[[#This Row],[Mois]]</f>
        <v>avril</v>
      </c>
      <c r="P116" s="2" t="s">
        <v>175</v>
      </c>
      <c r="U116" s="1">
        <f>IFERROR(MONTH(DetteFrs[Date Saisie]),"")</f>
        <v>4</v>
      </c>
      <c r="V116" s="1" t="str">
        <f>TEXT(DetteFrs[Date Saisie],"mmmm")</f>
        <v>avril</v>
      </c>
      <c r="W116" s="1" t="str">
        <f>TEXT(DetteFrs[Date Saisie],"yyyy")</f>
        <v>2025</v>
      </c>
    </row>
    <row r="117" spans="3:23" ht="16.5" x14ac:dyDescent="0.25">
      <c r="C117" s="29">
        <v>45771</v>
      </c>
      <c r="D117" s="21" t="s">
        <v>162</v>
      </c>
      <c r="E117" s="8" t="str">
        <f>IFERROR(VLOOKUP(DetteFrs[N°Tiers],Tableau5[[N°tiers]:[Fournisseur]],2,FALSE),"")</f>
        <v>CCIS</v>
      </c>
      <c r="F117" s="23" t="str">
        <f>VLOOKUP(DetteFrs[Fournisseur],Tableau5[[Fournisseur]:[Catégorie]],2,FALSE)</f>
        <v>FRS METIERS</v>
      </c>
      <c r="G117" s="21">
        <v>4011100499</v>
      </c>
      <c r="H117" s="25">
        <v>29500</v>
      </c>
      <c r="I117" s="25" t="str">
        <f>IFERROR(VLOOKUP(DetteFrs[N°Facture],ReglFrs[],7,FALSE),"0")</f>
        <v>0</v>
      </c>
      <c r="J117" s="25">
        <f>IFERROR(DetteFrs[[#This Row],[Net à Payer]]-DetteFrs[[#This Row],[Montant Payé]],"")</f>
        <v>29500</v>
      </c>
      <c r="K117" s="24">
        <v>45771</v>
      </c>
      <c r="L117" s="28">
        <f ca="1">IF(DetteFrs[Solde]=0,"",(TODAY()-DetteFrs[[#This Row],[Échéance]]))</f>
        <v>58</v>
      </c>
      <c r="M117" s="22" t="str">
        <f ca="1">IF(DetteFrs[Retard]="","Payé",IF(DetteFrs[Retard]&lt;=0,"Non Echue",IF(DetteFrs[Retard]&lt;=30,"Echue [1;30]",IF(DetteFrs[Retard]&lt;=60,"Echue [31;60]",IF(DetteFrs[Retard]&lt;=90,"Echue [61;90]","Echue &gt; 90")))))</f>
        <v>Echue [31;60]</v>
      </c>
      <c r="O117" s="2" t="str">
        <f>+Tableau3[[#This Row],[Mois]]</f>
        <v>avril</v>
      </c>
      <c r="P117" s="2" t="s">
        <v>175</v>
      </c>
      <c r="U117" s="1">
        <f>IFERROR(MONTH(DetteFrs[Date Saisie]),"")</f>
        <v>4</v>
      </c>
      <c r="V117" s="1" t="str">
        <f>TEXT(DetteFrs[Date Saisie],"mmmm")</f>
        <v>avril</v>
      </c>
      <c r="W117" s="1" t="str">
        <f>TEXT(DetteFrs[Date Saisie],"yyyy")</f>
        <v>2025</v>
      </c>
    </row>
    <row r="118" spans="3:23" ht="16.5" x14ac:dyDescent="0.25">
      <c r="C118" s="29">
        <v>45771</v>
      </c>
      <c r="D118" s="21" t="s">
        <v>163</v>
      </c>
      <c r="E118" s="8" t="str">
        <f>IFERROR(VLOOKUP(DetteFrs[N°Tiers],Tableau5[[N°tiers]:[Fournisseur]],2,FALSE),"")</f>
        <v>CCIS</v>
      </c>
      <c r="F118" s="23" t="str">
        <f>VLOOKUP(DetteFrs[Fournisseur],Tableau5[[Fournisseur]:[Catégorie]],2,FALSE)</f>
        <v>FRS METIERS</v>
      </c>
      <c r="G118" s="21">
        <v>4011100499</v>
      </c>
      <c r="H118" s="25">
        <v>238640</v>
      </c>
      <c r="I118" s="25" t="str">
        <f>IFERROR(VLOOKUP(DetteFrs[N°Facture],ReglFrs[],7,FALSE),"0")</f>
        <v>0</v>
      </c>
      <c r="J118" s="25">
        <f>IFERROR(DetteFrs[[#This Row],[Net à Payer]]-DetteFrs[[#This Row],[Montant Payé]],"")</f>
        <v>238640</v>
      </c>
      <c r="K118" s="24">
        <v>45771</v>
      </c>
      <c r="L118" s="28">
        <f ca="1">IF(DetteFrs[Solde]=0,"",(TODAY()-DetteFrs[[#This Row],[Échéance]]))</f>
        <v>58</v>
      </c>
      <c r="M118" s="22" t="str">
        <f ca="1">IF(DetteFrs[Retard]="","Payé",IF(DetteFrs[Retard]&lt;=0,"Non Echue",IF(DetteFrs[Retard]&lt;=30,"Echue [1;30]",IF(DetteFrs[Retard]&lt;=60,"Echue [31;60]",IF(DetteFrs[Retard]&lt;=90,"Echue [61;90]","Echue &gt; 90")))))</f>
        <v>Echue [31;60]</v>
      </c>
      <c r="O118" s="2" t="str">
        <f>+Tableau3[[#This Row],[Mois]]</f>
        <v>avril</v>
      </c>
      <c r="P118" s="2" t="s">
        <v>175</v>
      </c>
      <c r="U118" s="1">
        <f>IFERROR(MONTH(DetteFrs[Date Saisie]),"")</f>
        <v>4</v>
      </c>
      <c r="V118" s="1" t="str">
        <f>TEXT(DetteFrs[Date Saisie],"mmmm")</f>
        <v>avril</v>
      </c>
      <c r="W118" s="1" t="str">
        <f>TEXT(DetteFrs[Date Saisie],"yyyy")</f>
        <v>2025</v>
      </c>
    </row>
    <row r="119" spans="3:23" ht="16.5" x14ac:dyDescent="0.25">
      <c r="C119" s="29">
        <v>45771</v>
      </c>
      <c r="D119" s="21" t="s">
        <v>164</v>
      </c>
      <c r="E119" s="8" t="str">
        <f>IFERROR(VLOOKUP(DetteFrs[N°Tiers],Tableau5[[N°tiers]:[Fournisseur]],2,FALSE),"")</f>
        <v>CCIS</v>
      </c>
      <c r="F119" s="23" t="str">
        <f>VLOOKUP(DetteFrs[Fournisseur],Tableau5[[Fournisseur]:[Catégorie]],2,FALSE)</f>
        <v>FRS METIERS</v>
      </c>
      <c r="G119" s="21">
        <v>4011100499</v>
      </c>
      <c r="H119" s="25">
        <v>59000</v>
      </c>
      <c r="I119" s="25" t="str">
        <f>IFERROR(VLOOKUP(DetteFrs[N°Facture],ReglFrs[],7,FALSE),"0")</f>
        <v>0</v>
      </c>
      <c r="J119" s="25">
        <f>IFERROR(DetteFrs[[#This Row],[Net à Payer]]-DetteFrs[[#This Row],[Montant Payé]],"")</f>
        <v>59000</v>
      </c>
      <c r="K119" s="24">
        <v>45771</v>
      </c>
      <c r="L119" s="28">
        <f ca="1">IF(DetteFrs[Solde]=0,"",(TODAY()-DetteFrs[[#This Row],[Échéance]]))</f>
        <v>58</v>
      </c>
      <c r="M119" s="22" t="str">
        <f ca="1">IF(DetteFrs[Retard]="","Payé",IF(DetteFrs[Retard]&lt;=0,"Non Echue",IF(DetteFrs[Retard]&lt;=30,"Echue [1;30]",IF(DetteFrs[Retard]&lt;=60,"Echue [31;60]",IF(DetteFrs[Retard]&lt;=90,"Echue [61;90]","Echue &gt; 90")))))</f>
        <v>Echue [31;60]</v>
      </c>
      <c r="O119" s="2" t="str">
        <f>+Tableau3[[#This Row],[Mois]]</f>
        <v>avril</v>
      </c>
      <c r="P119" s="2" t="s">
        <v>175</v>
      </c>
      <c r="U119" s="1">
        <f>IFERROR(MONTH(DetteFrs[Date Saisie]),"")</f>
        <v>4</v>
      </c>
      <c r="V119" s="1" t="str">
        <f>TEXT(DetteFrs[Date Saisie],"mmmm")</f>
        <v>avril</v>
      </c>
      <c r="W119" s="1" t="str">
        <f>TEXT(DetteFrs[Date Saisie],"yyyy")</f>
        <v>2025</v>
      </c>
    </row>
    <row r="120" spans="3:23" ht="16.5" x14ac:dyDescent="0.25">
      <c r="C120" s="29">
        <v>45771</v>
      </c>
      <c r="D120" s="21" t="s">
        <v>165</v>
      </c>
      <c r="E120" s="8" t="str">
        <f>IFERROR(VLOOKUP(DetteFrs[N°Tiers],Tableau5[[N°tiers]:[Fournisseur]],2,FALSE),"")</f>
        <v>CCIS</v>
      </c>
      <c r="F120" s="23" t="str">
        <f>VLOOKUP(DetteFrs[Fournisseur],Tableau5[[Fournisseur]:[Catégorie]],2,FALSE)</f>
        <v>FRS METIERS</v>
      </c>
      <c r="G120" s="21">
        <v>4011100499</v>
      </c>
      <c r="H120" s="25">
        <v>177000</v>
      </c>
      <c r="I120" s="25" t="str">
        <f>IFERROR(VLOOKUP(DetteFrs[N°Facture],ReglFrs[],7,FALSE),"0")</f>
        <v>0</v>
      </c>
      <c r="J120" s="25">
        <f>IFERROR(DetteFrs[[#This Row],[Net à Payer]]-DetteFrs[[#This Row],[Montant Payé]],"")</f>
        <v>177000</v>
      </c>
      <c r="K120" s="24">
        <v>45832</v>
      </c>
      <c r="L120" s="28">
        <f ca="1">IF(DetteFrs[Solde]=0,"",(TODAY()-DetteFrs[[#This Row],[Échéance]]))</f>
        <v>-3</v>
      </c>
      <c r="M120" s="22" t="str">
        <f ca="1">IF(DetteFrs[Retard]="","Payé",IF(DetteFrs[Retard]&lt;=0,"Non Echue",IF(DetteFrs[Retard]&lt;=30,"Echue [1;30]",IF(DetteFrs[Retard]&lt;=60,"Echue [31;60]",IF(DetteFrs[Retard]&lt;=90,"Echue [61;90]","Echue &gt; 90")))))</f>
        <v>Non Echue</v>
      </c>
      <c r="O120" s="2" t="str">
        <f>+Tableau3[[#This Row],[Mois]]</f>
        <v>avril</v>
      </c>
      <c r="P120" s="2" t="s">
        <v>175</v>
      </c>
      <c r="U120" s="1">
        <f>IFERROR(MONTH(DetteFrs[Date Saisie]),"")</f>
        <v>4</v>
      </c>
      <c r="V120" s="1" t="str">
        <f>TEXT(DetteFrs[Date Saisie],"mmmm")</f>
        <v>avril</v>
      </c>
      <c r="W120" s="1" t="str">
        <f>TEXT(DetteFrs[Date Saisie],"yyyy")</f>
        <v>2025</v>
      </c>
    </row>
    <row r="121" spans="3:23" ht="16.5" x14ac:dyDescent="0.25">
      <c r="C121" s="29">
        <v>45772</v>
      </c>
      <c r="D121" s="21">
        <v>32779</v>
      </c>
      <c r="E121" s="8" t="str">
        <f>IFERROR(VLOOKUP(DetteFrs[N°Tiers],Tableau5[[N°tiers]:[Fournisseur]],2,FALSE),"")</f>
        <v>CCIS</v>
      </c>
      <c r="F121" s="23" t="str">
        <f>VLOOKUP(DetteFrs[Fournisseur],Tableau5[[Fournisseur]:[Catégorie]],2,FALSE)</f>
        <v>FRS METIERS</v>
      </c>
      <c r="G121" s="21">
        <v>4011100499</v>
      </c>
      <c r="H121" s="25">
        <v>158260</v>
      </c>
      <c r="I121" s="25" t="str">
        <f>IFERROR(VLOOKUP(DetteFrs[N°Facture],ReglFrs[],7,FALSE),"0")</f>
        <v>0</v>
      </c>
      <c r="J121" s="25">
        <f>IFERROR(DetteFrs[[#This Row],[Net à Payer]]-DetteFrs[[#This Row],[Montant Payé]],"")</f>
        <v>158260</v>
      </c>
      <c r="K121" s="24">
        <v>45843</v>
      </c>
      <c r="L121" s="28">
        <f ca="1">IF(DetteFrs[Solde]=0,"",(TODAY()-DetteFrs[[#This Row],[Échéance]]))</f>
        <v>-14</v>
      </c>
      <c r="M121" s="22" t="str">
        <f ca="1">IF(DetteFrs[Retard]="","Payé",IF(DetteFrs[Retard]&lt;=0,"Non Echue",IF(DetteFrs[Retard]&lt;=30,"Echue [1;30]",IF(DetteFrs[Retard]&lt;=60,"Echue [31;60]",IF(DetteFrs[Retard]&lt;=90,"Echue [61;90]","Echue &gt; 90")))))</f>
        <v>Non Echue</v>
      </c>
      <c r="O121" s="2" t="str">
        <f>+Tableau3[[#This Row],[Mois]]</f>
        <v>avril</v>
      </c>
      <c r="P121" s="2" t="s">
        <v>175</v>
      </c>
      <c r="U121" s="1">
        <f>IFERROR(MONTH(DetteFrs[Date Saisie]),"")</f>
        <v>4</v>
      </c>
      <c r="V121" s="1" t="str">
        <f>TEXT(DetteFrs[Date Saisie],"mmmm")</f>
        <v>avril</v>
      </c>
      <c r="W121" s="1" t="str">
        <f>TEXT(DetteFrs[Date Saisie],"yyyy")</f>
        <v>2025</v>
      </c>
    </row>
    <row r="122" spans="3:23" ht="16.5" x14ac:dyDescent="0.25">
      <c r="C122" s="29">
        <v>45772</v>
      </c>
      <c r="D122" s="21">
        <v>32780</v>
      </c>
      <c r="E122" s="8" t="str">
        <f>IFERROR(VLOOKUP(DetteFrs[N°Tiers],Tableau5[[N°tiers]:[Fournisseur]],2,FALSE),"")</f>
        <v>CCIS</v>
      </c>
      <c r="F122" s="23" t="str">
        <f>VLOOKUP(DetteFrs[Fournisseur],Tableau5[[Fournisseur]:[Catégorie]],2,FALSE)</f>
        <v>FRS METIERS</v>
      </c>
      <c r="G122" s="21">
        <v>4011100499</v>
      </c>
      <c r="H122" s="25">
        <v>59000</v>
      </c>
      <c r="I122" s="25" t="str">
        <f>IFERROR(VLOOKUP(DetteFrs[N°Facture],ReglFrs[],7,FALSE),"0")</f>
        <v>0</v>
      </c>
      <c r="J122" s="25">
        <f>IFERROR(DetteFrs[[#This Row],[Net à Payer]]-DetteFrs[[#This Row],[Montant Payé]],"")</f>
        <v>59000</v>
      </c>
      <c r="K122" s="24">
        <v>45843</v>
      </c>
      <c r="L122" s="28">
        <f ca="1">IF(DetteFrs[Solde]=0,"",(TODAY()-DetteFrs[[#This Row],[Échéance]]))</f>
        <v>-14</v>
      </c>
      <c r="M122" s="22" t="str">
        <f ca="1">IF(DetteFrs[Retard]="","Payé",IF(DetteFrs[Retard]&lt;=0,"Non Echue",IF(DetteFrs[Retard]&lt;=30,"Echue [1;30]",IF(DetteFrs[Retard]&lt;=60,"Echue [31;60]",IF(DetteFrs[Retard]&lt;=90,"Echue [61;90]","Echue &gt; 90")))))</f>
        <v>Non Echue</v>
      </c>
      <c r="O122" s="2" t="str">
        <f>+Tableau3[[#This Row],[Mois]]</f>
        <v>avril</v>
      </c>
      <c r="P122" s="2" t="s">
        <v>175</v>
      </c>
      <c r="U122" s="1">
        <f>IFERROR(MONTH(DetteFrs[Date Saisie]),"")</f>
        <v>4</v>
      </c>
      <c r="V122" s="1" t="str">
        <f>TEXT(DetteFrs[Date Saisie],"mmmm")</f>
        <v>avril</v>
      </c>
      <c r="W122" s="1" t="str">
        <f>TEXT(DetteFrs[Date Saisie],"yyyy")</f>
        <v>2025</v>
      </c>
    </row>
    <row r="123" spans="3:23" ht="16.5" x14ac:dyDescent="0.25">
      <c r="C123" s="29">
        <v>45772</v>
      </c>
      <c r="D123" s="21">
        <v>32783</v>
      </c>
      <c r="E123" s="8" t="str">
        <f>IFERROR(VLOOKUP(DetteFrs[N°Tiers],Tableau5[[N°tiers]:[Fournisseur]],2,FALSE),"")</f>
        <v>CCIS</v>
      </c>
      <c r="F123" s="23" t="str">
        <f>VLOOKUP(DetteFrs[Fournisseur],Tableau5[[Fournisseur]:[Catégorie]],2,FALSE)</f>
        <v>FRS METIERS</v>
      </c>
      <c r="G123" s="21">
        <v>4011100499</v>
      </c>
      <c r="H123" s="25">
        <v>236140</v>
      </c>
      <c r="I123" s="25" t="str">
        <f>IFERROR(VLOOKUP(DetteFrs[N°Facture],ReglFrs[],7,FALSE),"0")</f>
        <v>0</v>
      </c>
      <c r="J123" s="25">
        <f>IFERROR(DetteFrs[[#This Row],[Net à Payer]]-DetteFrs[[#This Row],[Montant Payé]],"")</f>
        <v>236140</v>
      </c>
      <c r="K123" s="24">
        <v>45843</v>
      </c>
      <c r="L123" s="28">
        <f ca="1">IF(DetteFrs[Solde]=0,"",(TODAY()-DetteFrs[[#This Row],[Échéance]]))</f>
        <v>-14</v>
      </c>
      <c r="M123" s="22" t="str">
        <f ca="1">IF(DetteFrs[Retard]="","Payé",IF(DetteFrs[Retard]&lt;=0,"Non Echue",IF(DetteFrs[Retard]&lt;=30,"Echue [1;30]",IF(DetteFrs[Retard]&lt;=60,"Echue [31;60]",IF(DetteFrs[Retard]&lt;=90,"Echue [61;90]","Echue &gt; 90")))))</f>
        <v>Non Echue</v>
      </c>
      <c r="O123" s="2" t="str">
        <f>+Tableau3[[#This Row],[Mois]]</f>
        <v>avril</v>
      </c>
      <c r="P123" s="2" t="s">
        <v>175</v>
      </c>
      <c r="U123" s="1">
        <f>IFERROR(MONTH(DetteFrs[Date Saisie]),"")</f>
        <v>4</v>
      </c>
      <c r="V123" s="1" t="str">
        <f>TEXT(DetteFrs[Date Saisie],"mmmm")</f>
        <v>avril</v>
      </c>
      <c r="W123" s="1" t="str">
        <f>TEXT(DetteFrs[Date Saisie],"yyyy")</f>
        <v>2025</v>
      </c>
    </row>
    <row r="124" spans="3:23" ht="16.5" x14ac:dyDescent="0.25">
      <c r="C124" s="29">
        <v>45772</v>
      </c>
      <c r="D124" s="21">
        <v>32784</v>
      </c>
      <c r="E124" s="8" t="str">
        <f>IFERROR(VLOOKUP(DetteFrs[N°Tiers],Tableau5[[N°tiers]:[Fournisseur]],2,FALSE),"")</f>
        <v>CCIS</v>
      </c>
      <c r="F124" s="23" t="str">
        <f>VLOOKUP(DetteFrs[Fournisseur],Tableau5[[Fournisseur]:[Catégorie]],2,FALSE)</f>
        <v>FRS METIERS</v>
      </c>
      <c r="G124" s="21">
        <v>4011100499</v>
      </c>
      <c r="H124" s="25">
        <v>59000</v>
      </c>
      <c r="I124" s="25" t="str">
        <f>IFERROR(VLOOKUP(DetteFrs[N°Facture],ReglFrs[],7,FALSE),"0")</f>
        <v>0</v>
      </c>
      <c r="J124" s="25">
        <f>IFERROR(DetteFrs[[#This Row],[Net à Payer]]-DetteFrs[[#This Row],[Montant Payé]],"")</f>
        <v>59000</v>
      </c>
      <c r="K124" s="24">
        <v>45843</v>
      </c>
      <c r="L124" s="28">
        <f ca="1">IF(DetteFrs[Solde]=0,"",(TODAY()-DetteFrs[[#This Row],[Échéance]]))</f>
        <v>-14</v>
      </c>
      <c r="M124" s="22" t="str">
        <f ca="1">IF(DetteFrs[Retard]="","Payé",IF(DetteFrs[Retard]&lt;=0,"Non Echue",IF(DetteFrs[Retard]&lt;=30,"Echue [1;30]",IF(DetteFrs[Retard]&lt;=60,"Echue [31;60]",IF(DetteFrs[Retard]&lt;=90,"Echue [61;90]","Echue &gt; 90")))))</f>
        <v>Non Echue</v>
      </c>
      <c r="O124" s="2" t="str">
        <f>+Tableau3[[#This Row],[Mois]]</f>
        <v>avril</v>
      </c>
      <c r="P124" s="2" t="s">
        <v>175</v>
      </c>
      <c r="U124" s="1">
        <f>IFERROR(MONTH(DetteFrs[Date Saisie]),"")</f>
        <v>4</v>
      </c>
      <c r="V124" s="1" t="str">
        <f>TEXT(DetteFrs[Date Saisie],"mmmm")</f>
        <v>avril</v>
      </c>
      <c r="W124" s="1" t="str">
        <f>TEXT(DetteFrs[Date Saisie],"yyyy")</f>
        <v>2025</v>
      </c>
    </row>
    <row r="125" spans="3:23" ht="16.5" x14ac:dyDescent="0.25">
      <c r="C125" s="29">
        <v>45772</v>
      </c>
      <c r="D125" s="21">
        <v>32741</v>
      </c>
      <c r="E125" s="8" t="str">
        <f>IFERROR(VLOOKUP(DetteFrs[N°Tiers],Tableau5[[N°tiers]:[Fournisseur]],2,FALSE),"")</f>
        <v>CCIS</v>
      </c>
      <c r="F125" s="23" t="str">
        <f>VLOOKUP(DetteFrs[Fournisseur],Tableau5[[Fournisseur]:[Catégorie]],2,FALSE)</f>
        <v>FRS METIERS</v>
      </c>
      <c r="G125" s="21">
        <v>4011100499</v>
      </c>
      <c r="H125" s="25">
        <v>236140</v>
      </c>
      <c r="I125" s="25" t="str">
        <f>IFERROR(VLOOKUP(DetteFrs[N°Facture],ReglFrs[],7,FALSE),"0")</f>
        <v>0</v>
      </c>
      <c r="J125" s="25">
        <f>IFERROR(DetteFrs[[#This Row],[Net à Payer]]-DetteFrs[[#This Row],[Montant Payé]],"")</f>
        <v>236140</v>
      </c>
      <c r="K125" s="24">
        <v>45843</v>
      </c>
      <c r="L125" s="28">
        <f ca="1">IF(DetteFrs[Solde]=0,"",(TODAY()-DetteFrs[[#This Row],[Échéance]]))</f>
        <v>-14</v>
      </c>
      <c r="M125" s="22" t="str">
        <f ca="1">IF(DetteFrs[Retard]="","Payé",IF(DetteFrs[Retard]&lt;=0,"Non Echue",IF(DetteFrs[Retard]&lt;=30,"Echue [1;30]",IF(DetteFrs[Retard]&lt;=60,"Echue [31;60]",IF(DetteFrs[Retard]&lt;=90,"Echue [61;90]","Echue &gt; 90")))))</f>
        <v>Non Echue</v>
      </c>
      <c r="O125" s="2" t="str">
        <f>+Tableau3[[#This Row],[Mois]]</f>
        <v>avril</v>
      </c>
      <c r="P125" s="2" t="s">
        <v>175</v>
      </c>
      <c r="U125" s="1">
        <f>IFERROR(MONTH(DetteFrs[Date Saisie]),"")</f>
        <v>4</v>
      </c>
      <c r="V125" s="1" t="str">
        <f>TEXT(DetteFrs[Date Saisie],"mmmm")</f>
        <v>avril</v>
      </c>
      <c r="W125" s="1" t="str">
        <f>TEXT(DetteFrs[Date Saisie],"yyyy")</f>
        <v>2025</v>
      </c>
    </row>
    <row r="126" spans="3:23" ht="16.5" x14ac:dyDescent="0.25">
      <c r="C126" s="29">
        <v>45772</v>
      </c>
      <c r="D126" s="21">
        <v>32758</v>
      </c>
      <c r="E126" s="8" t="str">
        <f>IFERROR(VLOOKUP(DetteFrs[N°Tiers],Tableau5[[N°tiers]:[Fournisseur]],2,FALSE),"")</f>
        <v>CCIS</v>
      </c>
      <c r="F126" s="23" t="str">
        <f>VLOOKUP(DetteFrs[Fournisseur],Tableau5[[Fournisseur]:[Catégorie]],2,FALSE)</f>
        <v>FRS METIERS</v>
      </c>
      <c r="G126" s="21">
        <v>4011100499</v>
      </c>
      <c r="H126" s="25">
        <v>59000</v>
      </c>
      <c r="I126" s="25" t="str">
        <f>IFERROR(VLOOKUP(DetteFrs[N°Facture],ReglFrs[],7,FALSE),"0")</f>
        <v>0</v>
      </c>
      <c r="J126" s="25">
        <f>IFERROR(DetteFrs[[#This Row],[Net à Payer]]-DetteFrs[[#This Row],[Montant Payé]],"")</f>
        <v>59000</v>
      </c>
      <c r="K126" s="24">
        <v>45843</v>
      </c>
      <c r="L126" s="28">
        <f ca="1">IF(DetteFrs[Solde]=0,"",(TODAY()-DetteFrs[[#This Row],[Échéance]]))</f>
        <v>-14</v>
      </c>
      <c r="M126" s="22" t="str">
        <f ca="1">IF(DetteFrs[Retard]="","Payé",IF(DetteFrs[Retard]&lt;=0,"Non Echue",IF(DetteFrs[Retard]&lt;=30,"Echue [1;30]",IF(DetteFrs[Retard]&lt;=60,"Echue [31;60]",IF(DetteFrs[Retard]&lt;=90,"Echue [61;90]","Echue &gt; 90")))))</f>
        <v>Non Echue</v>
      </c>
      <c r="O126" s="2" t="str">
        <f>+Tableau3[[#This Row],[Mois]]</f>
        <v>avril</v>
      </c>
      <c r="P126" s="2" t="s">
        <v>175</v>
      </c>
      <c r="U126" s="1">
        <f>IFERROR(MONTH(DetteFrs[Date Saisie]),"")</f>
        <v>4</v>
      </c>
      <c r="V126" s="1" t="str">
        <f>TEXT(DetteFrs[Date Saisie],"mmmm")</f>
        <v>avril</v>
      </c>
      <c r="W126" s="1" t="str">
        <f>TEXT(DetteFrs[Date Saisie],"yyyy")</f>
        <v>2025</v>
      </c>
    </row>
    <row r="127" spans="3:23" ht="16.5" x14ac:dyDescent="0.25">
      <c r="C127" s="29">
        <v>45772</v>
      </c>
      <c r="D127" s="21">
        <v>32781</v>
      </c>
      <c r="E127" s="8" t="str">
        <f>IFERROR(VLOOKUP(DetteFrs[N°Tiers],Tableau5[[N°tiers]:[Fournisseur]],2,FALSE),"")</f>
        <v>CCIS</v>
      </c>
      <c r="F127" s="23" t="str">
        <f>VLOOKUP(DetteFrs[Fournisseur],Tableau5[[Fournisseur]:[Catégorie]],2,FALSE)</f>
        <v>FRS METIERS</v>
      </c>
      <c r="G127" s="21">
        <v>4011100499</v>
      </c>
      <c r="H127" s="25">
        <v>158260</v>
      </c>
      <c r="I127" s="25" t="str">
        <f>IFERROR(VLOOKUP(DetteFrs[N°Facture],ReglFrs[],7,FALSE),"0")</f>
        <v>0</v>
      </c>
      <c r="J127" s="25">
        <f>IFERROR(DetteFrs[[#This Row],[Net à Payer]]-DetteFrs[[#This Row],[Montant Payé]],"")</f>
        <v>158260</v>
      </c>
      <c r="K127" s="24">
        <v>45843</v>
      </c>
      <c r="L127" s="28">
        <f ca="1">IF(DetteFrs[Solde]=0,"",(TODAY()-DetteFrs[[#This Row],[Échéance]]))</f>
        <v>-14</v>
      </c>
      <c r="M127" s="22" t="str">
        <f ca="1">IF(DetteFrs[Retard]="","Payé",IF(DetteFrs[Retard]&lt;=0,"Non Echue",IF(DetteFrs[Retard]&lt;=30,"Echue [1;30]",IF(DetteFrs[Retard]&lt;=60,"Echue [31;60]",IF(DetteFrs[Retard]&lt;=90,"Echue [61;90]","Echue &gt; 90")))))</f>
        <v>Non Echue</v>
      </c>
      <c r="O127" s="2" t="str">
        <f>+Tableau3[[#This Row],[Mois]]</f>
        <v>avril</v>
      </c>
      <c r="P127" s="2" t="s">
        <v>175</v>
      </c>
      <c r="U127" s="1">
        <f>IFERROR(MONTH(DetteFrs[Date Saisie]),"")</f>
        <v>4</v>
      </c>
      <c r="V127" s="1" t="str">
        <f>TEXT(DetteFrs[Date Saisie],"mmmm")</f>
        <v>avril</v>
      </c>
      <c r="W127" s="1" t="str">
        <f>TEXT(DetteFrs[Date Saisie],"yyyy")</f>
        <v>2025</v>
      </c>
    </row>
    <row r="128" spans="3:23" ht="16.5" x14ac:dyDescent="0.25">
      <c r="C128" s="29">
        <v>45772</v>
      </c>
      <c r="D128" s="21">
        <v>32782</v>
      </c>
      <c r="E128" s="8" t="str">
        <f>IFERROR(VLOOKUP(DetteFrs[N°Tiers],Tableau5[[N°tiers]:[Fournisseur]],2,FALSE),"")</f>
        <v>CCIS</v>
      </c>
      <c r="F128" s="23" t="str">
        <f>VLOOKUP(DetteFrs[Fournisseur],Tableau5[[Fournisseur]:[Catégorie]],2,FALSE)</f>
        <v>FRS METIERS</v>
      </c>
      <c r="G128" s="21">
        <v>4011100499</v>
      </c>
      <c r="H128" s="25">
        <v>59000</v>
      </c>
      <c r="I128" s="25" t="str">
        <f>IFERROR(VLOOKUP(DetteFrs[N°Facture],ReglFrs[],7,FALSE),"0")</f>
        <v>0</v>
      </c>
      <c r="J128" s="25">
        <f>IFERROR(DetteFrs[[#This Row],[Net à Payer]]-DetteFrs[[#This Row],[Montant Payé]],"")</f>
        <v>59000</v>
      </c>
      <c r="K128" s="24">
        <v>45843</v>
      </c>
      <c r="L128" s="28">
        <f ca="1">IF(DetteFrs[Solde]=0,"",(TODAY()-DetteFrs[[#This Row],[Échéance]]))</f>
        <v>-14</v>
      </c>
      <c r="M128" s="22" t="str">
        <f ca="1">IF(DetteFrs[Retard]="","Payé",IF(DetteFrs[Retard]&lt;=0,"Non Echue",IF(DetteFrs[Retard]&lt;=30,"Echue [1;30]",IF(DetteFrs[Retard]&lt;=60,"Echue [31;60]",IF(DetteFrs[Retard]&lt;=90,"Echue [61;90]","Echue &gt; 90")))))</f>
        <v>Non Echue</v>
      </c>
      <c r="O128" s="2" t="str">
        <f>+Tableau3[[#This Row],[Mois]]</f>
        <v>avril</v>
      </c>
      <c r="P128" s="2" t="s">
        <v>175</v>
      </c>
      <c r="U128" s="1">
        <f>IFERROR(MONTH(DetteFrs[Date Saisie]),"")</f>
        <v>4</v>
      </c>
      <c r="V128" s="1" t="str">
        <f>TEXT(DetteFrs[Date Saisie],"mmmm")</f>
        <v>avril</v>
      </c>
      <c r="W128" s="1" t="str">
        <f>TEXT(DetteFrs[Date Saisie],"yyyy")</f>
        <v>2025</v>
      </c>
    </row>
    <row r="129" spans="3:23" ht="16.5" x14ac:dyDescent="0.25">
      <c r="C129" s="29"/>
      <c r="D129" s="21"/>
      <c r="E129" s="8"/>
      <c r="F129" s="23"/>
      <c r="G129" s="21"/>
      <c r="H129" s="25"/>
      <c r="I129" s="22"/>
      <c r="J129" s="22"/>
      <c r="K129" s="24"/>
      <c r="L129" s="28"/>
      <c r="M129" s="22"/>
      <c r="U129" s="1" t="str">
        <f>IFERROR(MONTH(DetteFrs[Date Saisie]),"")</f>
        <v/>
      </c>
      <c r="W129" s="1" t="e">
        <f>TEXT(DetteFrs[Date Saisie],"yyyy")</f>
        <v>#VALUE!</v>
      </c>
    </row>
    <row r="130" spans="3:23" x14ac:dyDescent="0.25">
      <c r="U130" s="1" t="str">
        <f>IFERROR(MONTH(DetteFrs[Date Saisie]),"")</f>
        <v/>
      </c>
      <c r="W130" s="1" t="e">
        <f>TEXT(DetteFrs[Date Saisie],"yyyy")</f>
        <v>#VALUE!</v>
      </c>
    </row>
    <row r="131" spans="3:23" x14ac:dyDescent="0.25">
      <c r="U131" s="1" t="str">
        <f>IFERROR(MONTH(DetteFrs[Date Saisie]),"")</f>
        <v/>
      </c>
      <c r="W131" s="1" t="e">
        <f>TEXT(DetteFrs[Date Saisie],"yyyy")</f>
        <v>#VALUE!</v>
      </c>
    </row>
    <row r="132" spans="3:23" x14ac:dyDescent="0.25">
      <c r="U132" s="1" t="str">
        <f>IFERROR(MONTH(DetteFrs[Date Saisie]),"")</f>
        <v/>
      </c>
      <c r="W132" s="1" t="e">
        <f>TEXT(DetteFrs[Date Saisie],"yyyy")</f>
        <v>#VALUE!</v>
      </c>
    </row>
    <row r="133" spans="3:23" x14ac:dyDescent="0.25">
      <c r="U133" s="1" t="str">
        <f>IFERROR(MONTH(DetteFrs[Date Saisie]),"")</f>
        <v/>
      </c>
      <c r="W133" s="1" t="e">
        <f>TEXT(DetteFrs[Date Saisie],"yyyy")</f>
        <v>#VALUE!</v>
      </c>
    </row>
    <row r="134" spans="3:23" x14ac:dyDescent="0.25">
      <c r="U134" s="1" t="str">
        <f>IFERROR(MONTH(DetteFrs[Date Saisie]),"")</f>
        <v/>
      </c>
      <c r="W134" s="1" t="e">
        <f>TEXT(DetteFrs[Date Saisie],"yyyy")</f>
        <v>#VALUE!</v>
      </c>
    </row>
    <row r="135" spans="3:23" x14ac:dyDescent="0.25">
      <c r="U135" s="1" t="str">
        <f>IFERROR(MONTH(DetteFrs[Date Saisie]),"")</f>
        <v/>
      </c>
      <c r="W135" s="1" t="e">
        <f>TEXT(DetteFrs[Date Saisie],"yyyy")</f>
        <v>#VALUE!</v>
      </c>
    </row>
    <row r="136" spans="3:23" x14ac:dyDescent="0.25">
      <c r="U136" s="1" t="str">
        <f>IFERROR(MONTH(DetteFrs[Date Saisie]),"")</f>
        <v/>
      </c>
      <c r="W136" s="1" t="e">
        <f>TEXT(DetteFrs[Date Saisie],"yyyy")</f>
        <v>#VALUE!</v>
      </c>
    </row>
    <row r="137" spans="3:23" x14ac:dyDescent="0.25">
      <c r="U137" s="1" t="str">
        <f>IFERROR(MONTH(DetteFrs[Date Saisie]),"")</f>
        <v/>
      </c>
      <c r="W137" s="1" t="e">
        <f>TEXT(DetteFrs[Date Saisie],"yyyy")</f>
        <v>#VALUE!</v>
      </c>
    </row>
    <row r="138" spans="3:23" x14ac:dyDescent="0.25">
      <c r="U138" s="1" t="str">
        <f>IFERROR(MONTH(DetteFrs[Date Saisie]),"")</f>
        <v/>
      </c>
      <c r="W138" s="1" t="e">
        <f>TEXT(DetteFrs[Date Saisie],"yyyy")</f>
        <v>#VALUE!</v>
      </c>
    </row>
    <row r="139" spans="3:23" x14ac:dyDescent="0.25">
      <c r="U139" s="1" t="str">
        <f>IFERROR(MONTH(DetteFrs[Date Saisie]),"")</f>
        <v/>
      </c>
      <c r="W139" s="1" t="e">
        <f>TEXT(DetteFrs[Date Saisie],"yyyy")</f>
        <v>#VALUE!</v>
      </c>
    </row>
    <row r="140" spans="3:23" x14ac:dyDescent="0.25">
      <c r="U140" s="1" t="str">
        <f>IFERROR(MONTH(DetteFrs[Date Saisie]),"")</f>
        <v/>
      </c>
      <c r="W140" s="1" t="e">
        <f>TEXT(DetteFrs[Date Saisie],"yyyy")</f>
        <v>#VALUE!</v>
      </c>
    </row>
    <row r="141" spans="3:23" x14ac:dyDescent="0.25">
      <c r="U141" s="1" t="str">
        <f>IFERROR(MONTH(DetteFrs[Date Saisie]),"")</f>
        <v/>
      </c>
      <c r="W141" s="1" t="e">
        <f>TEXT(DetteFrs[Date Saisie],"yyyy")</f>
        <v>#VALUE!</v>
      </c>
    </row>
    <row r="142" spans="3:23" x14ac:dyDescent="0.25">
      <c r="U142" s="1" t="str">
        <f>IFERROR(MONTH(DetteFrs[Date Saisie]),"")</f>
        <v/>
      </c>
      <c r="W142" s="1" t="e">
        <f>TEXT(DetteFrs[Date Saisie],"yyyy")</f>
        <v>#VALUE!</v>
      </c>
    </row>
    <row r="143" spans="3:23" x14ac:dyDescent="0.25">
      <c r="U143" s="1" t="str">
        <f>IFERROR(MONTH(DetteFrs[Date Saisie]),"")</f>
        <v/>
      </c>
      <c r="W143" s="1" t="e">
        <f>TEXT(DetteFrs[Date Saisie],"yyyy")</f>
        <v>#VALUE!</v>
      </c>
    </row>
    <row r="144" spans="3:23" x14ac:dyDescent="0.25">
      <c r="U144" s="1" t="str">
        <f>IFERROR(MONTH(DetteFrs[Date Saisie]),"")</f>
        <v/>
      </c>
      <c r="W144" s="1" t="e">
        <f>TEXT(DetteFrs[Date Saisie],"yyyy")</f>
        <v>#VALUE!</v>
      </c>
    </row>
    <row r="145" spans="21:23" x14ac:dyDescent="0.25">
      <c r="U145" s="1" t="str">
        <f>IFERROR(MONTH(DetteFrs[Date Saisie]),"")</f>
        <v/>
      </c>
      <c r="W145" s="1" t="e">
        <f>TEXT(DetteFrs[Date Saisie],"yyyy")</f>
        <v>#VALUE!</v>
      </c>
    </row>
    <row r="146" spans="21:23" x14ac:dyDescent="0.25">
      <c r="U146" s="1" t="str">
        <f>IFERROR(MONTH(DetteFrs[Date Saisie]),"")</f>
        <v/>
      </c>
      <c r="W146" s="1" t="e">
        <f>TEXT(DetteFrs[Date Saisie],"yyyy")</f>
        <v>#VALUE!</v>
      </c>
    </row>
    <row r="147" spans="21:23" x14ac:dyDescent="0.25">
      <c r="U147" s="1" t="str">
        <f>IFERROR(MONTH(DetteFrs[Date Saisie]),"")</f>
        <v/>
      </c>
      <c r="W147" s="1" t="e">
        <f>TEXT(DetteFrs[Date Saisie],"yyyy")</f>
        <v>#VALUE!</v>
      </c>
    </row>
    <row r="148" spans="21:23" x14ac:dyDescent="0.25">
      <c r="U148" s="1" t="str">
        <f>IFERROR(MONTH(DetteFrs[Date Saisie]),"")</f>
        <v/>
      </c>
      <c r="W148" s="1" t="e">
        <f>TEXT(DetteFrs[Date Saisie],"yyyy")</f>
        <v>#VALUE!</v>
      </c>
    </row>
    <row r="149" spans="21:23" x14ac:dyDescent="0.25">
      <c r="U149" s="1" t="str">
        <f>IFERROR(MONTH(DetteFrs[Date Saisie]),"")</f>
        <v/>
      </c>
      <c r="W149" s="1" t="e">
        <f>TEXT(DetteFrs[Date Saisie],"yyyy")</f>
        <v>#VALUE!</v>
      </c>
    </row>
    <row r="150" spans="21:23" x14ac:dyDescent="0.25">
      <c r="U150" s="1" t="str">
        <f>IFERROR(MONTH(DetteFrs[Date Saisie]),"")</f>
        <v/>
      </c>
      <c r="W150" s="1" t="e">
        <f>TEXT(DetteFrs[Date Saisie],"yyyy")</f>
        <v>#VALUE!</v>
      </c>
    </row>
    <row r="151" spans="21:23" x14ac:dyDescent="0.25">
      <c r="U151" s="1" t="str">
        <f>IFERROR(MONTH(DetteFrs[Date Saisie]),"")</f>
        <v/>
      </c>
      <c r="W151" s="1" t="e">
        <f>TEXT(DetteFrs[Date Saisie],"yyyy")</f>
        <v>#VALUE!</v>
      </c>
    </row>
    <row r="152" spans="21:23" x14ac:dyDescent="0.25">
      <c r="U152" s="1" t="str">
        <f>IFERROR(MONTH(DetteFrs[Date Saisie]),"")</f>
        <v/>
      </c>
      <c r="W152" s="1" t="e">
        <f>TEXT(DetteFrs[Date Saisie],"yyyy")</f>
        <v>#VALUE!</v>
      </c>
    </row>
    <row r="153" spans="21:23" x14ac:dyDescent="0.25">
      <c r="U153" s="1" t="str">
        <f>IFERROR(MONTH(DetteFrs[Date Saisie]),"")</f>
        <v/>
      </c>
      <c r="W153" s="1" t="e">
        <f>TEXT(DetteFrs[Date Saisie],"yyyy")</f>
        <v>#VALUE!</v>
      </c>
    </row>
    <row r="154" spans="21:23" x14ac:dyDescent="0.25">
      <c r="U154" s="1" t="str">
        <f>IFERROR(MONTH(DetteFrs[Date Saisie]),"")</f>
        <v/>
      </c>
      <c r="W154" s="1" t="e">
        <f>TEXT(DetteFrs[Date Saisie],"yyyy")</f>
        <v>#VALUE!</v>
      </c>
    </row>
    <row r="155" spans="21:23" x14ac:dyDescent="0.25">
      <c r="U155" s="1" t="str">
        <f>IFERROR(MONTH(DetteFrs[Date Saisie]),"")</f>
        <v/>
      </c>
      <c r="W155" s="1" t="e">
        <f>TEXT(DetteFrs[Date Saisie],"yyyy")</f>
        <v>#VALUE!</v>
      </c>
    </row>
    <row r="156" spans="21:23" x14ac:dyDescent="0.25">
      <c r="U156" s="1" t="str">
        <f>IFERROR(MONTH(DetteFrs[Date Saisie]),"")</f>
        <v/>
      </c>
      <c r="W156" s="1" t="e">
        <f>TEXT(DetteFrs[Date Saisie],"yyyy")</f>
        <v>#VALUE!</v>
      </c>
    </row>
    <row r="157" spans="21:23" x14ac:dyDescent="0.25">
      <c r="U157" s="1" t="str">
        <f>IFERROR(MONTH(DetteFrs[Date Saisie]),"")</f>
        <v/>
      </c>
      <c r="W157" s="1" t="e">
        <f>TEXT(DetteFrs[Date Saisie],"yyyy")</f>
        <v>#VALUE!</v>
      </c>
    </row>
    <row r="158" spans="21:23" x14ac:dyDescent="0.25">
      <c r="U158" s="1" t="str">
        <f>IFERROR(MONTH(DetteFrs[Date Saisie]),"")</f>
        <v/>
      </c>
      <c r="W158" s="1" t="e">
        <f>TEXT(DetteFrs[Date Saisie],"yyyy")</f>
        <v>#VALUE!</v>
      </c>
    </row>
    <row r="159" spans="21:23" x14ac:dyDescent="0.25">
      <c r="U159" s="1" t="str">
        <f>IFERROR(MONTH(DetteFrs[Date Saisie]),"")</f>
        <v/>
      </c>
      <c r="W159" s="1" t="e">
        <f>TEXT(DetteFrs[Date Saisie],"yyyy")</f>
        <v>#VALUE!</v>
      </c>
    </row>
    <row r="160" spans="21:23" x14ac:dyDescent="0.25">
      <c r="U160" s="1" t="str">
        <f>IFERROR(MONTH(DetteFrs[Date Saisie]),"")</f>
        <v/>
      </c>
      <c r="W160" s="1" t="e">
        <f>TEXT(DetteFrs[Date Saisie],"yyyy")</f>
        <v>#VALUE!</v>
      </c>
    </row>
    <row r="161" spans="21:23" x14ac:dyDescent="0.25">
      <c r="U161" s="1" t="str">
        <f>IFERROR(MONTH(DetteFrs[Date Saisie]),"")</f>
        <v/>
      </c>
      <c r="W161" s="1" t="e">
        <f>TEXT(DetteFrs[Date Saisie],"yyyy")</f>
        <v>#VALUE!</v>
      </c>
    </row>
    <row r="162" spans="21:23" x14ac:dyDescent="0.25">
      <c r="U162" s="1" t="str">
        <f>IFERROR(MONTH(DetteFrs[Date Saisie]),"")</f>
        <v/>
      </c>
      <c r="W162" s="1" t="e">
        <f>TEXT(DetteFrs[Date Saisie],"yyyy")</f>
        <v>#VALUE!</v>
      </c>
    </row>
    <row r="163" spans="21:23" x14ac:dyDescent="0.25">
      <c r="U163" s="1" t="str">
        <f>IFERROR(MONTH(DetteFrs[Date Saisie]),"")</f>
        <v/>
      </c>
      <c r="W163" s="1" t="e">
        <f>TEXT(DetteFrs[Date Saisie],"yyyy")</f>
        <v>#VALUE!</v>
      </c>
    </row>
    <row r="164" spans="21:23" x14ac:dyDescent="0.25">
      <c r="U164" s="1" t="str">
        <f>IFERROR(MONTH(DetteFrs[Date Saisie]),"")</f>
        <v/>
      </c>
      <c r="W164" s="1" t="e">
        <f>TEXT(DetteFrs[Date Saisie],"yyyy")</f>
        <v>#VALUE!</v>
      </c>
    </row>
    <row r="165" spans="21:23" x14ac:dyDescent="0.25">
      <c r="U165" s="1" t="str">
        <f>IFERROR(MONTH(DetteFrs[Date Saisie]),"")</f>
        <v/>
      </c>
      <c r="W165" s="1" t="e">
        <f>TEXT(DetteFrs[Date Saisie],"yyyy")</f>
        <v>#VALUE!</v>
      </c>
    </row>
    <row r="166" spans="21:23" x14ac:dyDescent="0.25">
      <c r="U166" s="1" t="str">
        <f>IFERROR(MONTH(DetteFrs[Date Saisie]),"")</f>
        <v/>
      </c>
      <c r="W166" s="1" t="e">
        <f>TEXT(DetteFrs[Date Saisie],"yyyy")</f>
        <v>#VALUE!</v>
      </c>
    </row>
    <row r="167" spans="21:23" x14ac:dyDescent="0.25">
      <c r="U167" s="1" t="str">
        <f>IFERROR(MONTH(DetteFrs[Date Saisie]),"")</f>
        <v/>
      </c>
      <c r="W167" s="1" t="e">
        <f>TEXT(DetteFrs[Date Saisie],"yyyy")</f>
        <v>#VALUE!</v>
      </c>
    </row>
    <row r="168" spans="21:23" x14ac:dyDescent="0.25">
      <c r="U168" s="1" t="str">
        <f>IFERROR(MONTH(DetteFrs[Date Saisie]),"")</f>
        <v/>
      </c>
      <c r="W168" s="1" t="e">
        <f>TEXT(DetteFrs[Date Saisie],"yyyy")</f>
        <v>#VALUE!</v>
      </c>
    </row>
    <row r="169" spans="21:23" x14ac:dyDescent="0.25">
      <c r="U169" s="1" t="str">
        <f>IFERROR(MONTH(DetteFrs[Date Saisie]),"")</f>
        <v/>
      </c>
      <c r="W169" s="1" t="e">
        <f>TEXT(DetteFrs[Date Saisie],"yyyy")</f>
        <v>#VALUE!</v>
      </c>
    </row>
    <row r="170" spans="21:23" x14ac:dyDescent="0.25">
      <c r="U170" s="1" t="str">
        <f>IFERROR(MONTH(DetteFrs[Date Saisie]),"")</f>
        <v/>
      </c>
      <c r="W170" s="1" t="e">
        <f>TEXT(DetteFrs[Date Saisie],"yyyy")</f>
        <v>#VALUE!</v>
      </c>
    </row>
    <row r="171" spans="21:23" x14ac:dyDescent="0.25">
      <c r="U171" s="1" t="str">
        <f>IFERROR(MONTH(DetteFrs[Date Saisie]),"")</f>
        <v/>
      </c>
      <c r="W171" s="1" t="e">
        <f>TEXT(DetteFrs[Date Saisie],"yyyy")</f>
        <v>#VALUE!</v>
      </c>
    </row>
    <row r="172" spans="21:23" x14ac:dyDescent="0.25">
      <c r="U172" s="1" t="str">
        <f>IFERROR(MONTH(DetteFrs[Date Saisie]),"")</f>
        <v/>
      </c>
      <c r="W172" s="1" t="e">
        <f>TEXT(DetteFrs[Date Saisie],"yyyy")</f>
        <v>#VALUE!</v>
      </c>
    </row>
    <row r="173" spans="21:23" x14ac:dyDescent="0.25">
      <c r="U173" s="1" t="str">
        <f>IFERROR(MONTH(DetteFrs[Date Saisie]),"")</f>
        <v/>
      </c>
      <c r="W173" s="1" t="e">
        <f>TEXT(DetteFrs[Date Saisie],"yyyy")</f>
        <v>#VALUE!</v>
      </c>
    </row>
    <row r="174" spans="21:23" x14ac:dyDescent="0.25">
      <c r="U174" s="1" t="str">
        <f>IFERROR(MONTH(DetteFrs[Date Saisie]),"")</f>
        <v/>
      </c>
      <c r="W174" s="1" t="e">
        <f>TEXT(DetteFrs[Date Saisie],"yyyy")</f>
        <v>#VALUE!</v>
      </c>
    </row>
    <row r="175" spans="21:23" x14ac:dyDescent="0.25">
      <c r="U175" s="1" t="str">
        <f>IFERROR(MONTH(DetteFrs[Date Saisie]),"")</f>
        <v/>
      </c>
      <c r="W175" s="1" t="e">
        <f>TEXT(DetteFrs[Date Saisie],"yyyy")</f>
        <v>#VALUE!</v>
      </c>
    </row>
    <row r="176" spans="21:23" x14ac:dyDescent="0.25">
      <c r="U176" s="1" t="str">
        <f>IFERROR(MONTH(DetteFrs[Date Saisie]),"")</f>
        <v/>
      </c>
      <c r="W176" s="1" t="e">
        <f>TEXT(DetteFrs[Date Saisie],"yyyy")</f>
        <v>#VALUE!</v>
      </c>
    </row>
    <row r="177" spans="21:23" x14ac:dyDescent="0.25">
      <c r="U177" s="1" t="str">
        <f>IFERROR(MONTH(DetteFrs[Date Saisie]),"")</f>
        <v/>
      </c>
      <c r="W177" s="1" t="e">
        <f>TEXT(DetteFrs[Date Saisie],"yyyy")</f>
        <v>#VALUE!</v>
      </c>
    </row>
    <row r="178" spans="21:23" x14ac:dyDescent="0.25">
      <c r="U178" s="1" t="str">
        <f>IFERROR(MONTH(DetteFrs[Date Saisie]),"")</f>
        <v/>
      </c>
      <c r="W178" s="1" t="e">
        <f>TEXT(DetteFrs[Date Saisie],"yyyy")</f>
        <v>#VALUE!</v>
      </c>
    </row>
    <row r="179" spans="21:23" x14ac:dyDescent="0.25">
      <c r="U179" s="1" t="str">
        <f>IFERROR(MONTH(DetteFrs[Date Saisie]),"")</f>
        <v/>
      </c>
      <c r="W179" s="1" t="e">
        <f>TEXT(DetteFrs[Date Saisie],"yyyy")</f>
        <v>#VALUE!</v>
      </c>
    </row>
    <row r="180" spans="21:23" x14ac:dyDescent="0.25">
      <c r="U180" s="1" t="str">
        <f>IFERROR(MONTH(DetteFrs[Date Saisie]),"")</f>
        <v/>
      </c>
      <c r="W180" s="1" t="e">
        <f>TEXT(DetteFrs[Date Saisie],"yyyy")</f>
        <v>#VALUE!</v>
      </c>
    </row>
    <row r="181" spans="21:23" x14ac:dyDescent="0.25">
      <c r="U181" s="1" t="str">
        <f>IFERROR(MONTH(DetteFrs[Date Saisie]),"")</f>
        <v/>
      </c>
      <c r="W181" s="1" t="e">
        <f>TEXT(DetteFrs[Date Saisie],"yyyy")</f>
        <v>#VALUE!</v>
      </c>
    </row>
    <row r="182" spans="21:23" x14ac:dyDescent="0.25">
      <c r="U182" s="1" t="str">
        <f>IFERROR(MONTH(DetteFrs[Date Saisie]),"")</f>
        <v/>
      </c>
      <c r="W182" s="1" t="e">
        <f>TEXT(DetteFrs[Date Saisie],"yyyy")</f>
        <v>#VALUE!</v>
      </c>
    </row>
    <row r="183" spans="21:23" x14ac:dyDescent="0.25">
      <c r="U183" s="1" t="str">
        <f>IFERROR(MONTH(DetteFrs[Date Saisie]),"")</f>
        <v/>
      </c>
      <c r="W183" s="1" t="e">
        <f>TEXT(DetteFrs[Date Saisie],"yyyy")</f>
        <v>#VALUE!</v>
      </c>
    </row>
    <row r="184" spans="21:23" x14ac:dyDescent="0.25">
      <c r="U184" s="1" t="str">
        <f>IFERROR(MONTH(DetteFrs[Date Saisie]),"")</f>
        <v/>
      </c>
      <c r="W184" s="1" t="e">
        <f>TEXT(DetteFrs[Date Saisie],"yyyy")</f>
        <v>#VALUE!</v>
      </c>
    </row>
    <row r="185" spans="21:23" x14ac:dyDescent="0.25">
      <c r="U185" s="1" t="str">
        <f>IFERROR(MONTH(DetteFrs[Date Saisie]),"")</f>
        <v/>
      </c>
      <c r="W185" s="1" t="e">
        <f>TEXT(DetteFrs[Date Saisie],"yyyy")</f>
        <v>#VALUE!</v>
      </c>
    </row>
    <row r="186" spans="21:23" x14ac:dyDescent="0.25">
      <c r="U186" s="1" t="str">
        <f>IFERROR(MONTH(DetteFrs[Date Saisie]),"")</f>
        <v/>
      </c>
      <c r="W186" s="1" t="e">
        <f>TEXT(DetteFrs[Date Saisie],"yyyy")</f>
        <v>#VALUE!</v>
      </c>
    </row>
    <row r="187" spans="21:23" x14ac:dyDescent="0.25">
      <c r="U187" s="1" t="str">
        <f>IFERROR(MONTH(DetteFrs[Date Saisie]),"")</f>
        <v/>
      </c>
      <c r="W187" s="1" t="e">
        <f>TEXT(DetteFrs[Date Saisie],"yyyy")</f>
        <v>#VALUE!</v>
      </c>
    </row>
    <row r="188" spans="21:23" x14ac:dyDescent="0.25">
      <c r="U188" s="1" t="str">
        <f>IFERROR(MONTH(DetteFrs[Date Saisie]),"")</f>
        <v/>
      </c>
      <c r="W188" s="1" t="e">
        <f>TEXT(DetteFrs[Date Saisie],"yyyy")</f>
        <v>#VALUE!</v>
      </c>
    </row>
    <row r="189" spans="21:23" x14ac:dyDescent="0.25">
      <c r="U189" s="1" t="str">
        <f>IFERROR(MONTH(DetteFrs[Date Saisie]),"")</f>
        <v/>
      </c>
      <c r="W189" s="1" t="e">
        <f>TEXT(DetteFrs[Date Saisie],"yyyy")</f>
        <v>#VALUE!</v>
      </c>
    </row>
    <row r="190" spans="21:23" x14ac:dyDescent="0.25">
      <c r="U190" s="1" t="str">
        <f>IFERROR(MONTH(DetteFrs[Date Saisie]),"")</f>
        <v/>
      </c>
      <c r="W190" s="1" t="e">
        <f>TEXT(DetteFrs[Date Saisie],"yyyy")</f>
        <v>#VALUE!</v>
      </c>
    </row>
    <row r="191" spans="21:23" x14ac:dyDescent="0.25">
      <c r="U191" s="1" t="str">
        <f>IFERROR(MONTH(DetteFrs[Date Saisie]),"")</f>
        <v/>
      </c>
      <c r="W191" s="1" t="e">
        <f>TEXT(DetteFrs[Date Saisie],"yyyy")</f>
        <v>#VALUE!</v>
      </c>
    </row>
    <row r="192" spans="21:23" x14ac:dyDescent="0.25">
      <c r="U192" s="1" t="str">
        <f>IFERROR(MONTH(DetteFrs[Date Saisie]),"")</f>
        <v/>
      </c>
      <c r="W192" s="1" t="e">
        <f>TEXT(DetteFrs[Date Saisie],"yyyy")</f>
        <v>#VALUE!</v>
      </c>
    </row>
    <row r="193" spans="21:23" x14ac:dyDescent="0.25">
      <c r="U193" s="1" t="str">
        <f>IFERROR(MONTH(DetteFrs[Date Saisie]),"")</f>
        <v/>
      </c>
      <c r="W193" s="1" t="e">
        <f>TEXT(DetteFrs[Date Saisie],"yyyy")</f>
        <v>#VALUE!</v>
      </c>
    </row>
    <row r="194" spans="21:23" x14ac:dyDescent="0.25">
      <c r="U194" s="1" t="str">
        <f>IFERROR(MONTH(DetteFrs[Date Saisie]),"")</f>
        <v/>
      </c>
      <c r="W194" s="1" t="e">
        <f>TEXT(DetteFrs[Date Saisie],"yyyy")</f>
        <v>#VALUE!</v>
      </c>
    </row>
    <row r="195" spans="21:23" x14ac:dyDescent="0.25">
      <c r="U195" s="1" t="str">
        <f>IFERROR(MONTH(DetteFrs[Date Saisie]),"")</f>
        <v/>
      </c>
      <c r="W195" s="1" t="e">
        <f>TEXT(DetteFrs[Date Saisie],"yyyy")</f>
        <v>#VALUE!</v>
      </c>
    </row>
    <row r="196" spans="21:23" x14ac:dyDescent="0.25">
      <c r="U196" s="1" t="str">
        <f>IFERROR(MONTH(DetteFrs[Date Saisie]),"")</f>
        <v/>
      </c>
      <c r="W196" s="1" t="e">
        <f>TEXT(DetteFrs[Date Saisie],"yyyy")</f>
        <v>#VALUE!</v>
      </c>
    </row>
    <row r="197" spans="21:23" x14ac:dyDescent="0.25">
      <c r="U197" s="1" t="str">
        <f>IFERROR(MONTH(DetteFrs[Date Saisie]),"")</f>
        <v/>
      </c>
      <c r="W197" s="1" t="e">
        <f>TEXT(DetteFrs[Date Saisie],"yyyy")</f>
        <v>#VALUE!</v>
      </c>
    </row>
    <row r="198" spans="21:23" x14ac:dyDescent="0.25">
      <c r="U198" s="1" t="str">
        <f>IFERROR(MONTH(DetteFrs[Date Saisie]),"")</f>
        <v/>
      </c>
      <c r="W198" s="1" t="e">
        <f>TEXT(DetteFrs[Date Saisie],"yyyy")</f>
        <v>#VALUE!</v>
      </c>
    </row>
    <row r="199" spans="21:23" x14ac:dyDescent="0.25">
      <c r="U199" s="1" t="str">
        <f>IFERROR(MONTH(DetteFrs[Date Saisie]),"")</f>
        <v/>
      </c>
      <c r="W199" s="1" t="e">
        <f>TEXT(DetteFrs[Date Saisie],"yyyy")</f>
        <v>#VALUE!</v>
      </c>
    </row>
    <row r="200" spans="21:23" x14ac:dyDescent="0.25">
      <c r="U200" s="1" t="str">
        <f>IFERROR(MONTH(DetteFrs[Date Saisie]),"")</f>
        <v/>
      </c>
      <c r="W200" s="1" t="e">
        <f>TEXT(DetteFrs[Date Saisie],"yyyy")</f>
        <v>#VALUE!</v>
      </c>
    </row>
    <row r="201" spans="21:23" x14ac:dyDescent="0.25">
      <c r="U201" s="1" t="str">
        <f>IFERROR(MONTH(DetteFrs[Date Saisie]),"")</f>
        <v/>
      </c>
      <c r="W201" s="1" t="e">
        <f>TEXT(DetteFrs[Date Saisie],"yyyy")</f>
        <v>#VALUE!</v>
      </c>
    </row>
    <row r="202" spans="21:23" x14ac:dyDescent="0.25">
      <c r="U202" s="1" t="str">
        <f>IFERROR(MONTH(DetteFrs[Date Saisie]),"")</f>
        <v/>
      </c>
      <c r="W202" s="1" t="e">
        <f>TEXT(DetteFrs[Date Saisie],"yyyy")</f>
        <v>#VALUE!</v>
      </c>
    </row>
    <row r="203" spans="21:23" x14ac:dyDescent="0.25">
      <c r="U203" s="1" t="str">
        <f>IFERROR(MONTH(DetteFrs[Date Saisie]),"")</f>
        <v/>
      </c>
      <c r="W203" s="1" t="e">
        <f>TEXT(DetteFrs[Date Saisie],"yyyy")</f>
        <v>#VALUE!</v>
      </c>
    </row>
    <row r="204" spans="21:23" x14ac:dyDescent="0.25">
      <c r="U204" s="1" t="str">
        <f>IFERROR(MONTH(DetteFrs[Date Saisie]),"")</f>
        <v/>
      </c>
      <c r="W204" s="1" t="e">
        <f>TEXT(DetteFrs[Date Saisie],"yyyy")</f>
        <v>#VALUE!</v>
      </c>
    </row>
    <row r="205" spans="21:23" x14ac:dyDescent="0.25">
      <c r="U205" s="1" t="str">
        <f>IFERROR(MONTH(DetteFrs[Date Saisie]),"")</f>
        <v/>
      </c>
      <c r="W205" s="1" t="e">
        <f>TEXT(DetteFrs[Date Saisie],"yyyy")</f>
        <v>#VALUE!</v>
      </c>
    </row>
    <row r="206" spans="21:23" x14ac:dyDescent="0.25">
      <c r="U206" s="1" t="str">
        <f>IFERROR(MONTH(DetteFrs[Date Saisie]),"")</f>
        <v/>
      </c>
      <c r="W206" s="1" t="e">
        <f>TEXT(DetteFrs[Date Saisie],"yyyy")</f>
        <v>#VALUE!</v>
      </c>
    </row>
    <row r="207" spans="21:23" x14ac:dyDescent="0.25">
      <c r="U207" s="1" t="str">
        <f>IFERROR(MONTH(DetteFrs[Date Saisie]),"")</f>
        <v/>
      </c>
      <c r="W207" s="1" t="e">
        <f>TEXT(DetteFrs[Date Saisie],"yyyy")</f>
        <v>#VALUE!</v>
      </c>
    </row>
    <row r="208" spans="21:23" x14ac:dyDescent="0.25">
      <c r="U208" s="1" t="str">
        <f>IFERROR(MONTH(DetteFrs[Date Saisie]),"")</f>
        <v/>
      </c>
      <c r="W208" s="1" t="e">
        <f>TEXT(DetteFrs[Date Saisie],"yyyy")</f>
        <v>#VALUE!</v>
      </c>
    </row>
    <row r="209" spans="21:23" x14ac:dyDescent="0.25">
      <c r="U209" s="1" t="str">
        <f>IFERROR(MONTH(DetteFrs[Date Saisie]),"")</f>
        <v/>
      </c>
      <c r="W209" s="1" t="e">
        <f>TEXT(DetteFrs[Date Saisie],"yyyy")</f>
        <v>#VALUE!</v>
      </c>
    </row>
    <row r="210" spans="21:23" x14ac:dyDescent="0.25">
      <c r="U210" s="1" t="str">
        <f>IFERROR(MONTH(DetteFrs[Date Saisie]),"")</f>
        <v/>
      </c>
      <c r="W210" s="1" t="e">
        <f>TEXT(DetteFrs[Date Saisie],"yyyy")</f>
        <v>#VALUE!</v>
      </c>
    </row>
    <row r="211" spans="21:23" x14ac:dyDescent="0.25">
      <c r="U211" s="1" t="str">
        <f>IFERROR(MONTH(DetteFrs[Date Saisie]),"")</f>
        <v/>
      </c>
      <c r="W211" s="1" t="e">
        <f>TEXT(DetteFrs[Date Saisie],"yyyy")</f>
        <v>#VALUE!</v>
      </c>
    </row>
    <row r="212" spans="21:23" x14ac:dyDescent="0.25">
      <c r="U212" s="1" t="str">
        <f>IFERROR(MONTH(DetteFrs[Date Saisie]),"")</f>
        <v/>
      </c>
      <c r="W212" s="1" t="e">
        <f>TEXT(DetteFrs[Date Saisie],"yyyy")</f>
        <v>#VALUE!</v>
      </c>
    </row>
    <row r="213" spans="21:23" x14ac:dyDescent="0.25">
      <c r="U213" s="1" t="str">
        <f>IFERROR(MONTH(DetteFrs[Date Saisie]),"")</f>
        <v/>
      </c>
      <c r="W213" s="1" t="e">
        <f>TEXT(DetteFrs[Date Saisie],"yyyy")</f>
        <v>#VALUE!</v>
      </c>
    </row>
    <row r="214" spans="21:23" x14ac:dyDescent="0.25">
      <c r="U214" s="1" t="str">
        <f>IFERROR(MONTH(DetteFrs[Date Saisie]),"")</f>
        <v/>
      </c>
      <c r="W214" s="1" t="e">
        <f>TEXT(DetteFrs[Date Saisie],"yyyy")</f>
        <v>#VALUE!</v>
      </c>
    </row>
    <row r="215" spans="21:23" x14ac:dyDescent="0.25">
      <c r="U215" s="1" t="str">
        <f>IFERROR(MONTH(DetteFrs[Date Saisie]),"")</f>
        <v/>
      </c>
      <c r="W215" s="1" t="e">
        <f>TEXT(DetteFrs[Date Saisie],"yyyy")</f>
        <v>#VALUE!</v>
      </c>
    </row>
    <row r="216" spans="21:23" x14ac:dyDescent="0.25">
      <c r="U216" s="1" t="str">
        <f>IFERROR(MONTH(DetteFrs[Date Saisie]),"")</f>
        <v/>
      </c>
      <c r="W216" s="1" t="e">
        <f>TEXT(DetteFrs[Date Saisie],"yyyy")</f>
        <v>#VALUE!</v>
      </c>
    </row>
    <row r="217" spans="21:23" x14ac:dyDescent="0.25">
      <c r="U217" s="1" t="str">
        <f>IFERROR(MONTH(DetteFrs[Date Saisie]),"")</f>
        <v/>
      </c>
      <c r="W217" s="1" t="e">
        <f>TEXT(DetteFrs[Date Saisie],"yyyy")</f>
        <v>#VALUE!</v>
      </c>
    </row>
    <row r="218" spans="21:23" x14ac:dyDescent="0.25">
      <c r="U218" s="1" t="str">
        <f>IFERROR(MONTH(DetteFrs[Date Saisie]),"")</f>
        <v/>
      </c>
      <c r="W218" s="1" t="e">
        <f>TEXT(DetteFrs[Date Saisie],"yyyy")</f>
        <v>#VALUE!</v>
      </c>
    </row>
    <row r="219" spans="21:23" x14ac:dyDescent="0.25">
      <c r="U219" s="1" t="str">
        <f>IFERROR(MONTH(DetteFrs[Date Saisie]),"")</f>
        <v/>
      </c>
      <c r="W219" s="1" t="e">
        <f>TEXT(DetteFrs[Date Saisie],"yyyy")</f>
        <v>#VALUE!</v>
      </c>
    </row>
    <row r="220" spans="21:23" x14ac:dyDescent="0.25">
      <c r="U220" s="1" t="str">
        <f>IFERROR(MONTH(DetteFrs[Date Saisie]),"")</f>
        <v/>
      </c>
      <c r="W220" s="1" t="e">
        <f>TEXT(DetteFrs[Date Saisie],"yyyy")</f>
        <v>#VALUE!</v>
      </c>
    </row>
    <row r="221" spans="21:23" x14ac:dyDescent="0.25">
      <c r="U221" s="1" t="str">
        <f>IFERROR(MONTH(DetteFrs[Date Saisie]),"")</f>
        <v/>
      </c>
      <c r="W221" s="1" t="e">
        <f>TEXT(DetteFrs[Date Saisie],"yyyy")</f>
        <v>#VALUE!</v>
      </c>
    </row>
    <row r="222" spans="21:23" x14ac:dyDescent="0.25">
      <c r="U222" s="1" t="str">
        <f>IFERROR(MONTH(DetteFrs[Date Saisie]),"")</f>
        <v/>
      </c>
      <c r="W222" s="1" t="e">
        <f>TEXT(DetteFrs[Date Saisie],"yyyy")</f>
        <v>#VALUE!</v>
      </c>
    </row>
    <row r="223" spans="21:23" x14ac:dyDescent="0.25">
      <c r="U223" s="1" t="str">
        <f>IFERROR(MONTH(DetteFrs[Date Saisie]),"")</f>
        <v/>
      </c>
      <c r="W223" s="1" t="e">
        <f>TEXT(DetteFrs[Date Saisie],"yyyy")</f>
        <v>#VALUE!</v>
      </c>
    </row>
    <row r="224" spans="21:23" x14ac:dyDescent="0.25">
      <c r="U224" s="1" t="str">
        <f>IFERROR(MONTH(DetteFrs[Date Saisie]),"")</f>
        <v/>
      </c>
      <c r="W224" s="1" t="e">
        <f>TEXT(DetteFrs[Date Saisie],"yyyy")</f>
        <v>#VALUE!</v>
      </c>
    </row>
    <row r="225" spans="21:23" x14ac:dyDescent="0.25">
      <c r="U225" s="1" t="str">
        <f>IFERROR(MONTH(DetteFrs[Date Saisie]),"")</f>
        <v/>
      </c>
      <c r="W225" s="1" t="e">
        <f>TEXT(DetteFrs[Date Saisie],"yyyy")</f>
        <v>#VALUE!</v>
      </c>
    </row>
    <row r="226" spans="21:23" x14ac:dyDescent="0.25">
      <c r="U226" s="1" t="str">
        <f>IFERROR(MONTH(DetteFrs[Date Saisie]),"")</f>
        <v/>
      </c>
      <c r="W226" s="1" t="e">
        <f>TEXT(DetteFrs[Date Saisie],"yyyy")</f>
        <v>#VALUE!</v>
      </c>
    </row>
    <row r="227" spans="21:23" x14ac:dyDescent="0.25">
      <c r="U227" s="1" t="str">
        <f>IFERROR(MONTH(DetteFrs[Date Saisie]),"")</f>
        <v/>
      </c>
      <c r="W227" s="1" t="e">
        <f>TEXT(DetteFrs[Date Saisie],"yyyy")</f>
        <v>#VALUE!</v>
      </c>
    </row>
    <row r="228" spans="21:23" x14ac:dyDescent="0.25">
      <c r="U228" s="1" t="str">
        <f>IFERROR(MONTH(DetteFrs[Date Saisie]),"")</f>
        <v/>
      </c>
      <c r="W228" s="1" t="e">
        <f>TEXT(DetteFrs[Date Saisie],"yyyy")</f>
        <v>#VALUE!</v>
      </c>
    </row>
    <row r="229" spans="21:23" x14ac:dyDescent="0.25">
      <c r="U229" s="1" t="str">
        <f>IFERROR(MONTH(DetteFrs[Date Saisie]),"")</f>
        <v/>
      </c>
      <c r="W229" s="1" t="e">
        <f>TEXT(DetteFrs[Date Saisie],"yyyy")</f>
        <v>#VALUE!</v>
      </c>
    </row>
    <row r="230" spans="21:23" x14ac:dyDescent="0.25">
      <c r="U230" s="1" t="str">
        <f>IFERROR(MONTH(DetteFrs[Date Saisie]),"")</f>
        <v/>
      </c>
      <c r="W230" s="1" t="e">
        <f>TEXT(DetteFrs[Date Saisie],"yyyy")</f>
        <v>#VALUE!</v>
      </c>
    </row>
    <row r="231" spans="21:23" x14ac:dyDescent="0.25">
      <c r="U231" s="1" t="str">
        <f>IFERROR(MONTH(DetteFrs[Date Saisie]),"")</f>
        <v/>
      </c>
      <c r="W231" s="1" t="e">
        <f>TEXT(DetteFrs[Date Saisie],"yyyy")</f>
        <v>#VALUE!</v>
      </c>
    </row>
    <row r="232" spans="21:23" x14ac:dyDescent="0.25">
      <c r="U232" s="1" t="str">
        <f>IFERROR(MONTH(DetteFrs[Date Saisie]),"")</f>
        <v/>
      </c>
      <c r="W232" s="1" t="e">
        <f>TEXT(DetteFrs[Date Saisie],"yyyy")</f>
        <v>#VALUE!</v>
      </c>
    </row>
    <row r="233" spans="21:23" x14ac:dyDescent="0.25">
      <c r="U233" s="1" t="str">
        <f>IFERROR(MONTH(DetteFrs[Date Saisie]),"")</f>
        <v/>
      </c>
      <c r="W233" s="1" t="e">
        <f>TEXT(DetteFrs[Date Saisie],"yyyy")</f>
        <v>#VALUE!</v>
      </c>
    </row>
    <row r="234" spans="21:23" x14ac:dyDescent="0.25">
      <c r="U234" s="1" t="str">
        <f>IFERROR(MONTH(DetteFrs[Date Saisie]),"")</f>
        <v/>
      </c>
      <c r="W234" s="1" t="e">
        <f>TEXT(DetteFrs[Date Saisie],"yyyy")</f>
        <v>#VALUE!</v>
      </c>
    </row>
    <row r="235" spans="21:23" x14ac:dyDescent="0.25">
      <c r="U235" s="1" t="str">
        <f>IFERROR(MONTH(DetteFrs[Date Saisie]),"")</f>
        <v/>
      </c>
      <c r="W235" s="1" t="e">
        <f>TEXT(DetteFrs[Date Saisie],"yyyy")</f>
        <v>#VALUE!</v>
      </c>
    </row>
    <row r="236" spans="21:23" x14ac:dyDescent="0.25">
      <c r="U236" s="1" t="str">
        <f>IFERROR(MONTH(DetteFrs[Date Saisie]),"")</f>
        <v/>
      </c>
      <c r="W236" s="1" t="e">
        <f>TEXT(DetteFrs[Date Saisie],"yyyy")</f>
        <v>#VALUE!</v>
      </c>
    </row>
    <row r="237" spans="21:23" x14ac:dyDescent="0.25">
      <c r="U237" s="1" t="str">
        <f>IFERROR(MONTH(DetteFrs[Date Saisie]),"")</f>
        <v/>
      </c>
      <c r="W237" s="1" t="e">
        <f>TEXT(DetteFrs[Date Saisie],"yyyy")</f>
        <v>#VALUE!</v>
      </c>
    </row>
    <row r="238" spans="21:23" x14ac:dyDescent="0.25">
      <c r="U238" s="1" t="str">
        <f>IFERROR(MONTH(DetteFrs[Date Saisie]),"")</f>
        <v/>
      </c>
      <c r="W238" s="1" t="e">
        <f>TEXT(DetteFrs[Date Saisie],"yyyy")</f>
        <v>#VALUE!</v>
      </c>
    </row>
    <row r="239" spans="21:23" x14ac:dyDescent="0.25">
      <c r="U239" s="1" t="str">
        <f>IFERROR(MONTH(DetteFrs[Date Saisie]),"")</f>
        <v/>
      </c>
      <c r="W239" s="1" t="e">
        <f>TEXT(DetteFrs[Date Saisie],"yyyy")</f>
        <v>#VALUE!</v>
      </c>
    </row>
    <row r="240" spans="21:23" x14ac:dyDescent="0.25">
      <c r="U240" s="1" t="str">
        <f>IFERROR(MONTH(DetteFrs[Date Saisie]),"")</f>
        <v/>
      </c>
      <c r="W240" s="1" t="e">
        <f>TEXT(DetteFrs[Date Saisie],"yyyy")</f>
        <v>#VALUE!</v>
      </c>
    </row>
    <row r="241" spans="21:23" x14ac:dyDescent="0.25">
      <c r="U241" s="1" t="str">
        <f>IFERROR(MONTH(DetteFrs[Date Saisie]),"")</f>
        <v/>
      </c>
      <c r="W241" s="1" t="e">
        <f>TEXT(DetteFrs[Date Saisie],"yyyy")</f>
        <v>#VALUE!</v>
      </c>
    </row>
    <row r="242" spans="21:23" x14ac:dyDescent="0.25">
      <c r="U242" s="1" t="str">
        <f>IFERROR(MONTH(DetteFrs[Date Saisie]),"")</f>
        <v/>
      </c>
      <c r="W242" s="1" t="e">
        <f>TEXT(DetteFrs[Date Saisie],"yyyy")</f>
        <v>#VALUE!</v>
      </c>
    </row>
    <row r="243" spans="21:23" x14ac:dyDescent="0.25">
      <c r="U243" s="1" t="str">
        <f>IFERROR(MONTH(DetteFrs[Date Saisie]),"")</f>
        <v/>
      </c>
      <c r="W243" s="1" t="e">
        <f>TEXT(DetteFrs[Date Saisie],"yyyy")</f>
        <v>#VALUE!</v>
      </c>
    </row>
    <row r="244" spans="21:23" x14ac:dyDescent="0.25">
      <c r="U244" s="1" t="str">
        <f>IFERROR(MONTH(DetteFrs[Date Saisie]),"")</f>
        <v/>
      </c>
      <c r="W244" s="1" t="e">
        <f>TEXT(DetteFrs[Date Saisie],"yyyy")</f>
        <v>#VALUE!</v>
      </c>
    </row>
    <row r="245" spans="21:23" x14ac:dyDescent="0.25">
      <c r="U245" s="1" t="str">
        <f>IFERROR(MONTH(DetteFrs[Date Saisie]),"")</f>
        <v/>
      </c>
      <c r="W245" s="1" t="e">
        <f>TEXT(DetteFrs[Date Saisie],"yyyy")</f>
        <v>#VALUE!</v>
      </c>
    </row>
    <row r="246" spans="21:23" x14ac:dyDescent="0.25">
      <c r="U246" s="1" t="str">
        <f>IFERROR(MONTH(DetteFrs[Date Saisie]),"")</f>
        <v/>
      </c>
      <c r="W246" s="1" t="e">
        <f>TEXT(DetteFrs[Date Saisie],"yyyy")</f>
        <v>#VALUE!</v>
      </c>
    </row>
    <row r="247" spans="21:23" x14ac:dyDescent="0.25">
      <c r="U247" s="1" t="str">
        <f>IFERROR(MONTH(DetteFrs[Date Saisie]),"")</f>
        <v/>
      </c>
      <c r="W247" s="1" t="e">
        <f>TEXT(DetteFrs[Date Saisie],"yyyy")</f>
        <v>#VALUE!</v>
      </c>
    </row>
    <row r="248" spans="21:23" x14ac:dyDescent="0.25">
      <c r="U248" s="1" t="str">
        <f>IFERROR(MONTH(DetteFrs[Date Saisie]),"")</f>
        <v/>
      </c>
      <c r="W248" s="1" t="e">
        <f>TEXT(DetteFrs[Date Saisie],"yyyy")</f>
        <v>#VALUE!</v>
      </c>
    </row>
    <row r="249" spans="21:23" x14ac:dyDescent="0.25">
      <c r="U249" s="1" t="str">
        <f>IFERROR(MONTH(DetteFrs[Date Saisie]),"")</f>
        <v/>
      </c>
      <c r="W249" s="1" t="e">
        <f>TEXT(DetteFrs[Date Saisie],"yyyy")</f>
        <v>#VALUE!</v>
      </c>
    </row>
    <row r="250" spans="21:23" x14ac:dyDescent="0.25">
      <c r="U250" s="1" t="str">
        <f>IFERROR(MONTH(DetteFrs[Date Saisie]),"")</f>
        <v/>
      </c>
      <c r="W250" s="1" t="e">
        <f>TEXT(DetteFrs[Date Saisie],"yyyy")</f>
        <v>#VALUE!</v>
      </c>
    </row>
    <row r="251" spans="21:23" x14ac:dyDescent="0.25">
      <c r="U251" s="1" t="str">
        <f>IFERROR(MONTH(DetteFrs[Date Saisie]),"")</f>
        <v/>
      </c>
      <c r="W251" s="1" t="e">
        <f>TEXT(DetteFrs[Date Saisie],"yyyy")</f>
        <v>#VALUE!</v>
      </c>
    </row>
    <row r="252" spans="21:23" x14ac:dyDescent="0.25">
      <c r="U252" s="1" t="str">
        <f>IFERROR(MONTH(DetteFrs[Date Saisie]),"")</f>
        <v/>
      </c>
      <c r="W252" s="1" t="e">
        <f>TEXT(DetteFrs[Date Saisie],"yyyy")</f>
        <v>#VALUE!</v>
      </c>
    </row>
    <row r="253" spans="21:23" x14ac:dyDescent="0.25">
      <c r="U253" s="1" t="str">
        <f>IFERROR(MONTH(DetteFrs[Date Saisie]),"")</f>
        <v/>
      </c>
      <c r="W253" s="1" t="e">
        <f>TEXT(DetteFrs[Date Saisie],"yyyy")</f>
        <v>#VALUE!</v>
      </c>
    </row>
    <row r="254" spans="21:23" x14ac:dyDescent="0.25">
      <c r="U254" s="1" t="str">
        <f>IFERROR(MONTH(DetteFrs[Date Saisie]),"")</f>
        <v/>
      </c>
      <c r="W254" s="1" t="e">
        <f>TEXT(DetteFrs[Date Saisie],"yyyy")</f>
        <v>#VALUE!</v>
      </c>
    </row>
    <row r="255" spans="21:23" x14ac:dyDescent="0.25">
      <c r="U255" s="1" t="str">
        <f>IFERROR(MONTH(DetteFrs[Date Saisie]),"")</f>
        <v/>
      </c>
      <c r="W255" s="1" t="e">
        <f>TEXT(DetteFrs[Date Saisie],"yyyy")</f>
        <v>#VALUE!</v>
      </c>
    </row>
    <row r="256" spans="21:23" x14ac:dyDescent="0.25">
      <c r="U256" s="1" t="str">
        <f>IFERROR(MONTH(DetteFrs[Date Saisie]),"")</f>
        <v/>
      </c>
      <c r="W256" s="1" t="e">
        <f>TEXT(DetteFrs[Date Saisie],"yyyy")</f>
        <v>#VALUE!</v>
      </c>
    </row>
    <row r="257" spans="21:23" x14ac:dyDescent="0.25">
      <c r="U257" s="1" t="str">
        <f>IFERROR(MONTH(DetteFrs[Date Saisie]),"")</f>
        <v/>
      </c>
      <c r="W257" s="1" t="e">
        <f>TEXT(DetteFrs[Date Saisie],"yyyy")</f>
        <v>#VALUE!</v>
      </c>
    </row>
    <row r="258" spans="21:23" x14ac:dyDescent="0.25">
      <c r="U258" s="1" t="str">
        <f>IFERROR(MONTH(DetteFrs[Date Saisie]),"")</f>
        <v/>
      </c>
      <c r="W258" s="1" t="e">
        <f>TEXT(DetteFrs[Date Saisie],"yyyy")</f>
        <v>#VALUE!</v>
      </c>
    </row>
    <row r="259" spans="21:23" x14ac:dyDescent="0.25">
      <c r="U259" s="1" t="str">
        <f>IFERROR(MONTH(DetteFrs[Date Saisie]),"")</f>
        <v/>
      </c>
      <c r="W259" s="1" t="e">
        <f>TEXT(DetteFrs[Date Saisie],"yyyy")</f>
        <v>#VALUE!</v>
      </c>
    </row>
    <row r="260" spans="21:23" x14ac:dyDescent="0.25">
      <c r="U260" s="1" t="str">
        <f>IFERROR(MONTH(DetteFrs[Date Saisie]),"")</f>
        <v/>
      </c>
      <c r="W260" s="1" t="e">
        <f>TEXT(DetteFrs[Date Saisie],"yyyy")</f>
        <v>#VALUE!</v>
      </c>
    </row>
    <row r="261" spans="21:23" x14ac:dyDescent="0.25">
      <c r="U261" s="1" t="str">
        <f>IFERROR(MONTH(DetteFrs[Date Saisie]),"")</f>
        <v/>
      </c>
      <c r="W261" s="1" t="e">
        <f>TEXT(DetteFrs[Date Saisie],"yyyy")</f>
        <v>#VALUE!</v>
      </c>
    </row>
    <row r="262" spans="21:23" x14ac:dyDescent="0.25">
      <c r="U262" s="1" t="str">
        <f>IFERROR(MONTH(DetteFrs[Date Saisie]),"")</f>
        <v/>
      </c>
      <c r="W262" s="1" t="e">
        <f>TEXT(DetteFrs[Date Saisie],"yyyy")</f>
        <v>#VALUE!</v>
      </c>
    </row>
    <row r="263" spans="21:23" x14ac:dyDescent="0.25">
      <c r="U263" s="1" t="str">
        <f>IFERROR(MONTH(DetteFrs[Date Saisie]),"")</f>
        <v/>
      </c>
      <c r="W263" s="1" t="e">
        <f>TEXT(DetteFrs[Date Saisie],"yyyy")</f>
        <v>#VALUE!</v>
      </c>
    </row>
    <row r="264" spans="21:23" x14ac:dyDescent="0.25">
      <c r="U264" s="1" t="str">
        <f>IFERROR(MONTH(DetteFrs[Date Saisie]),"")</f>
        <v/>
      </c>
      <c r="W264" s="1" t="e">
        <f>TEXT(DetteFrs[Date Saisie],"yyyy")</f>
        <v>#VALUE!</v>
      </c>
    </row>
    <row r="265" spans="21:23" x14ac:dyDescent="0.25">
      <c r="U265" s="1" t="str">
        <f>IFERROR(MONTH(DetteFrs[Date Saisie]),"")</f>
        <v/>
      </c>
      <c r="W265" s="1" t="e">
        <f>TEXT(DetteFrs[Date Saisie],"yyyy")</f>
        <v>#VALUE!</v>
      </c>
    </row>
    <row r="266" spans="21:23" x14ac:dyDescent="0.25">
      <c r="U266" s="1" t="str">
        <f>IFERROR(MONTH(DetteFrs[Date Saisie]),"")</f>
        <v/>
      </c>
      <c r="W266" s="1" t="e">
        <f>TEXT(DetteFrs[Date Saisie],"yyyy")</f>
        <v>#VALUE!</v>
      </c>
    </row>
    <row r="267" spans="21:23" x14ac:dyDescent="0.25">
      <c r="U267" s="1" t="str">
        <f>IFERROR(MONTH(DetteFrs[Date Saisie]),"")</f>
        <v/>
      </c>
      <c r="W267" s="1" t="e">
        <f>TEXT(DetteFrs[Date Saisie],"yyyy")</f>
        <v>#VALUE!</v>
      </c>
    </row>
    <row r="268" spans="21:23" x14ac:dyDescent="0.25">
      <c r="U268" s="1" t="str">
        <f>IFERROR(MONTH(DetteFrs[Date Saisie]),"")</f>
        <v/>
      </c>
      <c r="W268" s="1" t="e">
        <f>TEXT(DetteFrs[Date Saisie],"yyyy")</f>
        <v>#VALUE!</v>
      </c>
    </row>
    <row r="269" spans="21:23" x14ac:dyDescent="0.25">
      <c r="U269" s="1" t="str">
        <f>IFERROR(MONTH(DetteFrs[Date Saisie]),"")</f>
        <v/>
      </c>
      <c r="W269" s="1" t="e">
        <f>TEXT(DetteFrs[Date Saisie],"yyyy")</f>
        <v>#VALUE!</v>
      </c>
    </row>
    <row r="270" spans="21:23" x14ac:dyDescent="0.25">
      <c r="U270" s="1" t="str">
        <f>IFERROR(MONTH(DetteFrs[Date Saisie]),"")</f>
        <v/>
      </c>
      <c r="W270" s="1" t="e">
        <f>TEXT(DetteFrs[Date Saisie],"yyyy")</f>
        <v>#VALUE!</v>
      </c>
    </row>
    <row r="271" spans="21:23" x14ac:dyDescent="0.25">
      <c r="U271" s="1" t="str">
        <f>IFERROR(MONTH(DetteFrs[Date Saisie]),"")</f>
        <v/>
      </c>
      <c r="W271" s="1" t="e">
        <f>TEXT(DetteFrs[Date Saisie],"yyyy")</f>
        <v>#VALUE!</v>
      </c>
    </row>
    <row r="272" spans="21:23" x14ac:dyDescent="0.25">
      <c r="U272" s="1" t="str">
        <f>IFERROR(MONTH(DetteFrs[Date Saisie]),"")</f>
        <v/>
      </c>
      <c r="W272" s="1" t="e">
        <f>TEXT(DetteFrs[Date Saisie],"yyyy")</f>
        <v>#VALUE!</v>
      </c>
    </row>
    <row r="273" spans="21:23" x14ac:dyDescent="0.25">
      <c r="U273" s="1" t="str">
        <f>IFERROR(MONTH(DetteFrs[Date Saisie]),"")</f>
        <v/>
      </c>
      <c r="W273" s="1" t="e">
        <f>TEXT(DetteFrs[Date Saisie],"yyyy")</f>
        <v>#VALUE!</v>
      </c>
    </row>
    <row r="274" spans="21:23" x14ac:dyDescent="0.25">
      <c r="U274" s="1" t="str">
        <f>IFERROR(MONTH(DetteFrs[Date Saisie]),"")</f>
        <v/>
      </c>
      <c r="W274" s="1" t="e">
        <f>TEXT(DetteFrs[Date Saisie],"yyyy")</f>
        <v>#VALUE!</v>
      </c>
    </row>
    <row r="275" spans="21:23" x14ac:dyDescent="0.25">
      <c r="U275" s="1" t="str">
        <f>IFERROR(MONTH(DetteFrs[Date Saisie]),"")</f>
        <v/>
      </c>
      <c r="W275" s="1" t="e">
        <f>TEXT(DetteFrs[Date Saisie],"yyyy")</f>
        <v>#VALUE!</v>
      </c>
    </row>
    <row r="276" spans="21:23" x14ac:dyDescent="0.25">
      <c r="U276" s="1" t="str">
        <f>IFERROR(MONTH(DetteFrs[Date Saisie]),"")</f>
        <v/>
      </c>
      <c r="W276" s="1" t="e">
        <f>TEXT(DetteFrs[Date Saisie],"yyyy")</f>
        <v>#VALUE!</v>
      </c>
    </row>
    <row r="277" spans="21:23" x14ac:dyDescent="0.25">
      <c r="U277" s="1" t="str">
        <f>IFERROR(MONTH(DetteFrs[Date Saisie]),"")</f>
        <v/>
      </c>
      <c r="W277" s="1" t="e">
        <f>TEXT(DetteFrs[Date Saisie],"yyyy")</f>
        <v>#VALUE!</v>
      </c>
    </row>
    <row r="278" spans="21:23" x14ac:dyDescent="0.25">
      <c r="U278" s="1" t="str">
        <f>IFERROR(MONTH(DetteFrs[Date Saisie]),"")</f>
        <v/>
      </c>
      <c r="W278" s="1" t="e">
        <f>TEXT(DetteFrs[Date Saisie],"yyyy")</f>
        <v>#VALUE!</v>
      </c>
    </row>
    <row r="279" spans="21:23" x14ac:dyDescent="0.25">
      <c r="U279" s="1" t="str">
        <f>IFERROR(MONTH(DetteFrs[Date Saisie]),"")</f>
        <v/>
      </c>
      <c r="W279" s="1" t="e">
        <f>TEXT(DetteFrs[Date Saisie],"yyyy")</f>
        <v>#VALUE!</v>
      </c>
    </row>
    <row r="280" spans="21:23" x14ac:dyDescent="0.25">
      <c r="U280" s="1" t="str">
        <f>IFERROR(MONTH(DetteFrs[Date Saisie]),"")</f>
        <v/>
      </c>
      <c r="W280" s="1" t="e">
        <f>TEXT(DetteFrs[Date Saisie],"yyyy")</f>
        <v>#VALUE!</v>
      </c>
    </row>
    <row r="281" spans="21:23" x14ac:dyDescent="0.25">
      <c r="U281" s="1" t="str">
        <f>IFERROR(MONTH(DetteFrs[Date Saisie]),"")</f>
        <v/>
      </c>
      <c r="W281" s="1" t="e">
        <f>TEXT(DetteFrs[Date Saisie],"yyyy")</f>
        <v>#VALUE!</v>
      </c>
    </row>
    <row r="282" spans="21:23" x14ac:dyDescent="0.25">
      <c r="U282" s="1" t="str">
        <f>IFERROR(MONTH(DetteFrs[Date Saisie]),"")</f>
        <v/>
      </c>
      <c r="W282" s="1" t="e">
        <f>TEXT(DetteFrs[Date Saisie],"yyyy")</f>
        <v>#VALUE!</v>
      </c>
    </row>
    <row r="283" spans="21:23" x14ac:dyDescent="0.25">
      <c r="U283" s="1" t="str">
        <f>IFERROR(MONTH(DetteFrs[Date Saisie]),"")</f>
        <v/>
      </c>
      <c r="W283" s="1" t="e">
        <f>TEXT(DetteFrs[Date Saisie],"yyyy")</f>
        <v>#VALUE!</v>
      </c>
    </row>
    <row r="284" spans="21:23" x14ac:dyDescent="0.25">
      <c r="U284" s="1" t="str">
        <f>IFERROR(MONTH(DetteFrs[Date Saisie]),"")</f>
        <v/>
      </c>
      <c r="W284" s="1" t="e">
        <f>TEXT(DetteFrs[Date Saisie],"yyyy")</f>
        <v>#VALUE!</v>
      </c>
    </row>
    <row r="285" spans="21:23" x14ac:dyDescent="0.25">
      <c r="U285" s="1" t="str">
        <f>IFERROR(MONTH(DetteFrs[Date Saisie]),"")</f>
        <v/>
      </c>
      <c r="W285" s="1" t="e">
        <f>TEXT(DetteFrs[Date Saisie],"yyyy")</f>
        <v>#VALUE!</v>
      </c>
    </row>
    <row r="286" spans="21:23" x14ac:dyDescent="0.25">
      <c r="U286" s="1" t="str">
        <f>IFERROR(MONTH(DetteFrs[Date Saisie]),"")</f>
        <v/>
      </c>
      <c r="W286" s="1" t="e">
        <f>TEXT(DetteFrs[Date Saisie],"yyyy")</f>
        <v>#VALUE!</v>
      </c>
    </row>
    <row r="287" spans="21:23" x14ac:dyDescent="0.25">
      <c r="U287" s="1" t="str">
        <f>IFERROR(MONTH(DetteFrs[Date Saisie]),"")</f>
        <v/>
      </c>
      <c r="W287" s="1" t="e">
        <f>TEXT(DetteFrs[Date Saisie],"yyyy")</f>
        <v>#VALUE!</v>
      </c>
    </row>
    <row r="288" spans="21:23" x14ac:dyDescent="0.25">
      <c r="U288" s="1" t="str">
        <f>IFERROR(MONTH(DetteFrs[Date Saisie]),"")</f>
        <v/>
      </c>
      <c r="W288" s="1" t="e">
        <f>TEXT(DetteFrs[Date Saisie],"yyyy")</f>
        <v>#VALUE!</v>
      </c>
    </row>
    <row r="289" spans="21:23" x14ac:dyDescent="0.25">
      <c r="U289" s="1" t="str">
        <f>IFERROR(MONTH(DetteFrs[Date Saisie]),"")</f>
        <v/>
      </c>
      <c r="W289" s="1" t="e">
        <f>TEXT(DetteFrs[Date Saisie],"yyyy")</f>
        <v>#VALUE!</v>
      </c>
    </row>
    <row r="290" spans="21:23" x14ac:dyDescent="0.25">
      <c r="U290" s="1" t="str">
        <f>IFERROR(MONTH(DetteFrs[Date Saisie]),"")</f>
        <v/>
      </c>
      <c r="W290" s="1" t="e">
        <f>TEXT(DetteFrs[Date Saisie],"yyyy")</f>
        <v>#VALUE!</v>
      </c>
    </row>
    <row r="291" spans="21:23" x14ac:dyDescent="0.25">
      <c r="U291" s="1" t="str">
        <f>IFERROR(MONTH(DetteFrs[Date Saisie]),"")</f>
        <v/>
      </c>
      <c r="W291" s="1" t="e">
        <f>TEXT(DetteFrs[Date Saisie],"yyyy")</f>
        <v>#VALUE!</v>
      </c>
    </row>
    <row r="292" spans="21:23" x14ac:dyDescent="0.25">
      <c r="U292" s="1" t="str">
        <f>IFERROR(MONTH(DetteFrs[Date Saisie]),"")</f>
        <v/>
      </c>
      <c r="W292" s="1" t="e">
        <f>TEXT(DetteFrs[Date Saisie],"yyyy")</f>
        <v>#VALUE!</v>
      </c>
    </row>
    <row r="293" spans="21:23" x14ac:dyDescent="0.25">
      <c r="U293" s="1" t="str">
        <f>IFERROR(MONTH(DetteFrs[Date Saisie]),"")</f>
        <v/>
      </c>
      <c r="W293" s="1" t="e">
        <f>TEXT(DetteFrs[Date Saisie],"yyyy")</f>
        <v>#VALUE!</v>
      </c>
    </row>
    <row r="294" spans="21:23" x14ac:dyDescent="0.25">
      <c r="U294" s="1" t="str">
        <f>IFERROR(MONTH(DetteFrs[Date Saisie]),"")</f>
        <v/>
      </c>
      <c r="W294" s="1" t="e">
        <f>TEXT(DetteFrs[Date Saisie],"yyyy")</f>
        <v>#VALUE!</v>
      </c>
    </row>
    <row r="295" spans="21:23" x14ac:dyDescent="0.25">
      <c r="U295" s="1" t="str">
        <f>IFERROR(MONTH(DetteFrs[Date Saisie]),"")</f>
        <v/>
      </c>
      <c r="W295" s="1" t="e">
        <f>TEXT(DetteFrs[Date Saisie],"yyyy")</f>
        <v>#VALUE!</v>
      </c>
    </row>
    <row r="296" spans="21:23" x14ac:dyDescent="0.25">
      <c r="U296" s="1" t="str">
        <f>IFERROR(MONTH(DetteFrs[Date Saisie]),"")</f>
        <v/>
      </c>
      <c r="W296" s="1" t="e">
        <f>TEXT(DetteFrs[Date Saisie],"yyyy")</f>
        <v>#VALUE!</v>
      </c>
    </row>
    <row r="297" spans="21:23" x14ac:dyDescent="0.25">
      <c r="U297" s="1" t="str">
        <f>IFERROR(MONTH(DetteFrs[Date Saisie]),"")</f>
        <v/>
      </c>
      <c r="W297" s="1" t="e">
        <f>TEXT(DetteFrs[Date Saisie],"yyyy")</f>
        <v>#VALUE!</v>
      </c>
    </row>
    <row r="298" spans="21:23" x14ac:dyDescent="0.25">
      <c r="U298" s="1" t="str">
        <f>IFERROR(MONTH(DetteFrs[Date Saisie]),"")</f>
        <v/>
      </c>
      <c r="W298" s="1" t="e">
        <f>TEXT(DetteFrs[Date Saisie],"yyyy")</f>
        <v>#VALUE!</v>
      </c>
    </row>
    <row r="299" spans="21:23" x14ac:dyDescent="0.25">
      <c r="U299" s="1" t="str">
        <f>IFERROR(MONTH(DetteFrs[Date Saisie]),"")</f>
        <v/>
      </c>
      <c r="W299" s="1" t="e">
        <f>TEXT(DetteFrs[Date Saisie],"yyyy")</f>
        <v>#VALUE!</v>
      </c>
    </row>
    <row r="300" spans="21:23" x14ac:dyDescent="0.25">
      <c r="U300" s="1" t="str">
        <f>IFERROR(MONTH(DetteFrs[Date Saisie]),"")</f>
        <v/>
      </c>
      <c r="W300" s="1" t="e">
        <f>TEXT(DetteFrs[Date Saisie],"yyyy")</f>
        <v>#VALUE!</v>
      </c>
    </row>
    <row r="301" spans="21:23" x14ac:dyDescent="0.25">
      <c r="U301" s="1" t="str">
        <f>IFERROR(MONTH(DetteFrs[Date Saisie]),"")</f>
        <v/>
      </c>
      <c r="W301" s="1" t="e">
        <f>TEXT(DetteFrs[Date Saisie],"yyyy")</f>
        <v>#VALUE!</v>
      </c>
    </row>
    <row r="302" spans="21:23" x14ac:dyDescent="0.25">
      <c r="U302" s="1" t="str">
        <f>IFERROR(MONTH(DetteFrs[Date Saisie]),"")</f>
        <v/>
      </c>
      <c r="W302" s="1" t="e">
        <f>TEXT(DetteFrs[Date Saisie],"yyyy")</f>
        <v>#VALUE!</v>
      </c>
    </row>
    <row r="303" spans="21:23" x14ac:dyDescent="0.25">
      <c r="U303" s="1" t="str">
        <f>IFERROR(MONTH(DetteFrs[Date Saisie]),"")</f>
        <v/>
      </c>
      <c r="W303" s="1" t="e">
        <f>TEXT(DetteFrs[Date Saisie],"yyyy")</f>
        <v>#VALUE!</v>
      </c>
    </row>
    <row r="304" spans="21:23" x14ac:dyDescent="0.25">
      <c r="U304" s="1" t="str">
        <f>IFERROR(MONTH(DetteFrs[Date Saisie]),"")</f>
        <v/>
      </c>
      <c r="W304" s="1" t="e">
        <f>TEXT(DetteFrs[Date Saisie],"yyyy")</f>
        <v>#VALUE!</v>
      </c>
    </row>
    <row r="305" spans="21:23" x14ac:dyDescent="0.25">
      <c r="U305" s="1" t="str">
        <f>IFERROR(MONTH(DetteFrs[Date Saisie]),"")</f>
        <v/>
      </c>
      <c r="W305" s="1" t="e">
        <f>TEXT(DetteFrs[Date Saisie],"yyyy")</f>
        <v>#VALUE!</v>
      </c>
    </row>
    <row r="306" spans="21:23" x14ac:dyDescent="0.25">
      <c r="U306" s="1" t="str">
        <f>IFERROR(MONTH(DetteFrs[Date Saisie]),"")</f>
        <v/>
      </c>
      <c r="W306" s="1" t="e">
        <f>TEXT(DetteFrs[Date Saisie],"yyyy")</f>
        <v>#VALUE!</v>
      </c>
    </row>
    <row r="307" spans="21:23" x14ac:dyDescent="0.25">
      <c r="U307" s="1" t="str">
        <f>IFERROR(MONTH(DetteFrs[Date Saisie]),"")</f>
        <v/>
      </c>
      <c r="W307" s="1" t="e">
        <f>TEXT(DetteFrs[Date Saisie],"yyyy")</f>
        <v>#VALUE!</v>
      </c>
    </row>
    <row r="308" spans="21:23" x14ac:dyDescent="0.25">
      <c r="U308" s="1" t="str">
        <f>IFERROR(MONTH(DetteFrs[Date Saisie]),"")</f>
        <v/>
      </c>
      <c r="W308" s="1" t="e">
        <f>TEXT(DetteFrs[Date Saisie],"yyyy")</f>
        <v>#VALUE!</v>
      </c>
    </row>
    <row r="309" spans="21:23" x14ac:dyDescent="0.25">
      <c r="U309" s="1" t="str">
        <f>IFERROR(MONTH(DetteFrs[Date Saisie]),"")</f>
        <v/>
      </c>
      <c r="W309" s="1" t="e">
        <f>TEXT(DetteFrs[Date Saisie],"yyyy")</f>
        <v>#VALUE!</v>
      </c>
    </row>
    <row r="310" spans="21:23" x14ac:dyDescent="0.25">
      <c r="U310" s="1" t="str">
        <f>IFERROR(MONTH(DetteFrs[Date Saisie]),"")</f>
        <v/>
      </c>
      <c r="W310" s="1" t="e">
        <f>TEXT(DetteFrs[Date Saisie],"yyyy")</f>
        <v>#VALUE!</v>
      </c>
    </row>
    <row r="311" spans="21:23" x14ac:dyDescent="0.25">
      <c r="U311" s="1" t="str">
        <f>IFERROR(MONTH(DetteFrs[Date Saisie]),"")</f>
        <v/>
      </c>
      <c r="W311" s="1" t="e">
        <f>TEXT(DetteFrs[Date Saisie],"yyyy")</f>
        <v>#VALUE!</v>
      </c>
    </row>
    <row r="312" spans="21:23" x14ac:dyDescent="0.25">
      <c r="U312" s="1" t="str">
        <f>IFERROR(MONTH(DetteFrs[Date Saisie]),"")</f>
        <v/>
      </c>
      <c r="W312" s="1" t="e">
        <f>TEXT(DetteFrs[Date Saisie],"yyyy")</f>
        <v>#VALUE!</v>
      </c>
    </row>
    <row r="313" spans="21:23" x14ac:dyDescent="0.25">
      <c r="U313" s="1" t="str">
        <f>IFERROR(MONTH(DetteFrs[Date Saisie]),"")</f>
        <v/>
      </c>
      <c r="W313" s="1" t="e">
        <f>TEXT(DetteFrs[Date Saisie],"yyyy")</f>
        <v>#VALUE!</v>
      </c>
    </row>
    <row r="314" spans="21:23" x14ac:dyDescent="0.25">
      <c r="U314" s="1" t="str">
        <f>IFERROR(MONTH(DetteFrs[Date Saisie]),"")</f>
        <v/>
      </c>
      <c r="W314" s="1" t="e">
        <f>TEXT(DetteFrs[Date Saisie],"yyyy")</f>
        <v>#VALUE!</v>
      </c>
    </row>
    <row r="315" spans="21:23" x14ac:dyDescent="0.25">
      <c r="U315" s="1" t="str">
        <f>IFERROR(MONTH(DetteFrs[Date Saisie]),"")</f>
        <v/>
      </c>
      <c r="W315" s="1" t="e">
        <f>TEXT(DetteFrs[Date Saisie],"yyyy")</f>
        <v>#VALUE!</v>
      </c>
    </row>
    <row r="316" spans="21:23" x14ac:dyDescent="0.25">
      <c r="U316" s="1" t="str">
        <f>IFERROR(MONTH(DetteFrs[Date Saisie]),"")</f>
        <v/>
      </c>
      <c r="W316" s="1" t="e">
        <f>TEXT(DetteFrs[Date Saisie],"yyyy")</f>
        <v>#VALUE!</v>
      </c>
    </row>
    <row r="317" spans="21:23" x14ac:dyDescent="0.25">
      <c r="U317" s="1" t="str">
        <f>IFERROR(MONTH(DetteFrs[Date Saisie]),"")</f>
        <v/>
      </c>
      <c r="W317" s="1" t="e">
        <f>TEXT(DetteFrs[Date Saisie],"yyyy")</f>
        <v>#VALUE!</v>
      </c>
    </row>
    <row r="318" spans="21:23" x14ac:dyDescent="0.25">
      <c r="U318" s="1" t="str">
        <f>IFERROR(MONTH(DetteFrs[Date Saisie]),"")</f>
        <v/>
      </c>
      <c r="W318" s="1" t="e">
        <f>TEXT(DetteFrs[Date Saisie],"yyyy")</f>
        <v>#VALUE!</v>
      </c>
    </row>
    <row r="319" spans="21:23" x14ac:dyDescent="0.25">
      <c r="U319" s="1" t="str">
        <f>IFERROR(MONTH(DetteFrs[Date Saisie]),"")</f>
        <v/>
      </c>
      <c r="W319" s="1" t="e">
        <f>TEXT(DetteFrs[Date Saisie],"yyyy")</f>
        <v>#VALUE!</v>
      </c>
    </row>
    <row r="320" spans="21:23" x14ac:dyDescent="0.25">
      <c r="U320" s="1" t="str">
        <f>IFERROR(MONTH(DetteFrs[Date Saisie]),"")</f>
        <v/>
      </c>
      <c r="W320" s="1" t="e">
        <f>TEXT(DetteFrs[Date Saisie],"yyyy")</f>
        <v>#VALUE!</v>
      </c>
    </row>
    <row r="321" spans="21:23" x14ac:dyDescent="0.25">
      <c r="U321" s="1" t="str">
        <f>IFERROR(MONTH(DetteFrs[Date Saisie]),"")</f>
        <v/>
      </c>
      <c r="W321" s="1" t="e">
        <f>TEXT(DetteFrs[Date Saisie],"yyyy")</f>
        <v>#VALUE!</v>
      </c>
    </row>
    <row r="322" spans="21:23" x14ac:dyDescent="0.25">
      <c r="U322" s="1" t="str">
        <f>IFERROR(MONTH(DetteFrs[Date Saisie]),"")</f>
        <v/>
      </c>
      <c r="W322" s="1" t="e">
        <f>TEXT(DetteFrs[Date Saisie],"yyyy")</f>
        <v>#VALUE!</v>
      </c>
    </row>
    <row r="323" spans="21:23" x14ac:dyDescent="0.25">
      <c r="U323" s="1" t="str">
        <f>IFERROR(MONTH(DetteFrs[Date Saisie]),"")</f>
        <v/>
      </c>
      <c r="W323" s="1" t="e">
        <f>TEXT(DetteFrs[Date Saisie],"yyyy")</f>
        <v>#VALUE!</v>
      </c>
    </row>
    <row r="324" spans="21:23" x14ac:dyDescent="0.25">
      <c r="U324" s="1" t="str">
        <f>IFERROR(MONTH(DetteFrs[Date Saisie]),"")</f>
        <v/>
      </c>
      <c r="W324" s="1" t="e">
        <f>TEXT(DetteFrs[Date Saisie],"yyyy")</f>
        <v>#VALUE!</v>
      </c>
    </row>
    <row r="325" spans="21:23" x14ac:dyDescent="0.25">
      <c r="U325" s="1" t="str">
        <f>IFERROR(MONTH(DetteFrs[Date Saisie]),"")</f>
        <v/>
      </c>
      <c r="W325" s="1" t="e">
        <f>TEXT(DetteFrs[Date Saisie],"yyyy")</f>
        <v>#VALUE!</v>
      </c>
    </row>
    <row r="326" spans="21:23" x14ac:dyDescent="0.25">
      <c r="U326" s="1" t="str">
        <f>IFERROR(MONTH(DetteFrs[Date Saisie]),"")</f>
        <v/>
      </c>
      <c r="W326" s="1" t="e">
        <f>TEXT(DetteFrs[Date Saisie],"yyyy")</f>
        <v>#VALUE!</v>
      </c>
    </row>
    <row r="327" spans="21:23" x14ac:dyDescent="0.25">
      <c r="U327" s="1" t="str">
        <f>IFERROR(MONTH(DetteFrs[Date Saisie]),"")</f>
        <v/>
      </c>
      <c r="W327" s="1" t="e">
        <f>TEXT(DetteFrs[Date Saisie],"yyyy")</f>
        <v>#VALUE!</v>
      </c>
    </row>
    <row r="328" spans="21:23" x14ac:dyDescent="0.25">
      <c r="U328" s="1" t="str">
        <f>IFERROR(MONTH(DetteFrs[Date Saisie]),"")</f>
        <v/>
      </c>
      <c r="W328" s="1" t="e">
        <f>TEXT(DetteFrs[Date Saisie],"yyyy")</f>
        <v>#VALUE!</v>
      </c>
    </row>
    <row r="329" spans="21:23" x14ac:dyDescent="0.25">
      <c r="U329" s="1" t="str">
        <f>IFERROR(MONTH(DetteFrs[Date Saisie]),"")</f>
        <v/>
      </c>
      <c r="W329" s="1" t="e">
        <f>TEXT(DetteFrs[Date Saisie],"yyyy")</f>
        <v>#VALUE!</v>
      </c>
    </row>
    <row r="330" spans="21:23" x14ac:dyDescent="0.25">
      <c r="U330" s="1" t="str">
        <f>IFERROR(MONTH(DetteFrs[Date Saisie]),"")</f>
        <v/>
      </c>
      <c r="W330" s="1" t="e">
        <f>TEXT(DetteFrs[Date Saisie],"yyyy")</f>
        <v>#VALUE!</v>
      </c>
    </row>
    <row r="331" spans="21:23" x14ac:dyDescent="0.25">
      <c r="U331" s="1" t="str">
        <f>IFERROR(MONTH(DetteFrs[Date Saisie]),"")</f>
        <v/>
      </c>
      <c r="W331" s="1" t="e">
        <f>TEXT(DetteFrs[Date Saisie],"yyyy")</f>
        <v>#VALUE!</v>
      </c>
    </row>
    <row r="332" spans="21:23" x14ac:dyDescent="0.25">
      <c r="U332" s="1" t="str">
        <f>IFERROR(MONTH(DetteFrs[Date Saisie]),"")</f>
        <v/>
      </c>
      <c r="W332" s="1" t="e">
        <f>TEXT(DetteFrs[Date Saisie],"yyyy")</f>
        <v>#VALUE!</v>
      </c>
    </row>
    <row r="333" spans="21:23" x14ac:dyDescent="0.25">
      <c r="U333" s="1" t="str">
        <f>IFERROR(MONTH(DetteFrs[Date Saisie]),"")</f>
        <v/>
      </c>
      <c r="W333" s="1" t="e">
        <f>TEXT(DetteFrs[Date Saisie],"yyyy")</f>
        <v>#VALUE!</v>
      </c>
    </row>
    <row r="334" spans="21:23" x14ac:dyDescent="0.25">
      <c r="U334" s="1" t="str">
        <f>IFERROR(MONTH(DetteFrs[Date Saisie]),"")</f>
        <v/>
      </c>
      <c r="W334" s="1" t="e">
        <f>TEXT(DetteFrs[Date Saisie],"yyyy")</f>
        <v>#VALUE!</v>
      </c>
    </row>
    <row r="335" spans="21:23" x14ac:dyDescent="0.25">
      <c r="U335" s="1" t="str">
        <f>IFERROR(MONTH(DetteFrs[Date Saisie]),"")</f>
        <v/>
      </c>
      <c r="W335" s="1" t="e">
        <f>TEXT(DetteFrs[Date Saisie],"yyyy")</f>
        <v>#VALUE!</v>
      </c>
    </row>
    <row r="336" spans="21:23" x14ac:dyDescent="0.25">
      <c r="U336" s="1" t="str">
        <f>IFERROR(MONTH(DetteFrs[Date Saisie]),"")</f>
        <v/>
      </c>
      <c r="W336" s="1" t="e">
        <f>TEXT(DetteFrs[Date Saisie],"yyyy")</f>
        <v>#VALUE!</v>
      </c>
    </row>
    <row r="337" spans="21:23" x14ac:dyDescent="0.25">
      <c r="U337" s="1" t="str">
        <f>IFERROR(MONTH(DetteFrs[Date Saisie]),"")</f>
        <v/>
      </c>
      <c r="W337" s="1" t="e">
        <f>TEXT(DetteFrs[Date Saisie],"yyyy")</f>
        <v>#VALUE!</v>
      </c>
    </row>
    <row r="338" spans="21:23" x14ac:dyDescent="0.25">
      <c r="U338" s="1" t="str">
        <f>IFERROR(MONTH(DetteFrs[Date Saisie]),"")</f>
        <v/>
      </c>
      <c r="W338" s="1" t="e">
        <f>TEXT(DetteFrs[Date Saisie],"yyyy")</f>
        <v>#VALUE!</v>
      </c>
    </row>
    <row r="339" spans="21:23" x14ac:dyDescent="0.25">
      <c r="U339" s="1" t="str">
        <f>IFERROR(MONTH(DetteFrs[Date Saisie]),"")</f>
        <v/>
      </c>
      <c r="W339" s="1" t="e">
        <f>TEXT(DetteFrs[Date Saisie],"yyyy")</f>
        <v>#VALUE!</v>
      </c>
    </row>
    <row r="340" spans="21:23" x14ac:dyDescent="0.25">
      <c r="U340" s="1" t="str">
        <f>IFERROR(MONTH(DetteFrs[Date Saisie]),"")</f>
        <v/>
      </c>
      <c r="W340" s="1" t="e">
        <f>TEXT(DetteFrs[Date Saisie],"yyyy")</f>
        <v>#VALUE!</v>
      </c>
    </row>
    <row r="341" spans="21:23" x14ac:dyDescent="0.25">
      <c r="U341" s="1" t="str">
        <f>IFERROR(MONTH(DetteFrs[Date Saisie]),"")</f>
        <v/>
      </c>
      <c r="W341" s="1" t="e">
        <f>TEXT(DetteFrs[Date Saisie],"yyyy")</f>
        <v>#VALUE!</v>
      </c>
    </row>
    <row r="342" spans="21:23" x14ac:dyDescent="0.25">
      <c r="U342" s="1" t="str">
        <f>IFERROR(MONTH(DetteFrs[Date Saisie]),"")</f>
        <v/>
      </c>
      <c r="W342" s="1" t="e">
        <f>TEXT(DetteFrs[Date Saisie],"yyyy")</f>
        <v>#VALUE!</v>
      </c>
    </row>
    <row r="343" spans="21:23" x14ac:dyDescent="0.25">
      <c r="U343" s="1" t="str">
        <f>IFERROR(MONTH(DetteFrs[Date Saisie]),"")</f>
        <v/>
      </c>
      <c r="W343" s="1" t="e">
        <f>TEXT(DetteFrs[Date Saisie],"yyyy")</f>
        <v>#VALUE!</v>
      </c>
    </row>
    <row r="344" spans="21:23" x14ac:dyDescent="0.25">
      <c r="U344" s="1" t="str">
        <f>IFERROR(MONTH(DetteFrs[Date Saisie]),"")</f>
        <v/>
      </c>
      <c r="W344" s="1" t="e">
        <f>TEXT(DetteFrs[Date Saisie],"yyyy")</f>
        <v>#VALUE!</v>
      </c>
    </row>
    <row r="345" spans="21:23" x14ac:dyDescent="0.25">
      <c r="U345" s="1" t="str">
        <f>IFERROR(MONTH(DetteFrs[Date Saisie]),"")</f>
        <v/>
      </c>
      <c r="W345" s="1" t="e">
        <f>TEXT(DetteFrs[Date Saisie],"yyyy")</f>
        <v>#VALUE!</v>
      </c>
    </row>
    <row r="346" spans="21:23" x14ac:dyDescent="0.25">
      <c r="U346" s="1" t="str">
        <f>IFERROR(MONTH(DetteFrs[Date Saisie]),"")</f>
        <v/>
      </c>
      <c r="W346" s="1" t="e">
        <f>TEXT(DetteFrs[Date Saisie],"yyyy")</f>
        <v>#VALUE!</v>
      </c>
    </row>
    <row r="347" spans="21:23" x14ac:dyDescent="0.25">
      <c r="U347" s="1" t="str">
        <f>IFERROR(MONTH(DetteFrs[Date Saisie]),"")</f>
        <v/>
      </c>
      <c r="W347" s="1" t="e">
        <f>TEXT(DetteFrs[Date Saisie],"yyyy")</f>
        <v>#VALUE!</v>
      </c>
    </row>
    <row r="348" spans="21:23" x14ac:dyDescent="0.25">
      <c r="U348" s="1" t="str">
        <f>IFERROR(MONTH(DetteFrs[Date Saisie]),"")</f>
        <v/>
      </c>
      <c r="W348" s="1" t="e">
        <f>TEXT(DetteFrs[Date Saisie],"yyyy")</f>
        <v>#VALUE!</v>
      </c>
    </row>
    <row r="349" spans="21:23" x14ac:dyDescent="0.25">
      <c r="U349" s="1" t="str">
        <f>IFERROR(MONTH(DetteFrs[Date Saisie]),"")</f>
        <v/>
      </c>
      <c r="W349" s="1" t="e">
        <f>TEXT(DetteFrs[Date Saisie],"yyyy")</f>
        <v>#VALUE!</v>
      </c>
    </row>
    <row r="350" spans="21:23" x14ac:dyDescent="0.25">
      <c r="U350" s="1" t="str">
        <f>IFERROR(MONTH(DetteFrs[Date Saisie]),"")</f>
        <v/>
      </c>
      <c r="W350" s="1" t="e">
        <f>TEXT(DetteFrs[Date Saisie],"yyyy")</f>
        <v>#VALUE!</v>
      </c>
    </row>
    <row r="351" spans="21:23" x14ac:dyDescent="0.25">
      <c r="U351" s="1" t="str">
        <f>IFERROR(MONTH(DetteFrs[Date Saisie]),"")</f>
        <v/>
      </c>
      <c r="W351" s="1" t="e">
        <f>TEXT(DetteFrs[Date Saisie],"yyyy")</f>
        <v>#VALUE!</v>
      </c>
    </row>
    <row r="352" spans="21:23" x14ac:dyDescent="0.25">
      <c r="U352" s="1" t="str">
        <f>IFERROR(MONTH(DetteFrs[Date Saisie]),"")</f>
        <v/>
      </c>
      <c r="W352" s="1" t="e">
        <f>TEXT(DetteFrs[Date Saisie],"yyyy")</f>
        <v>#VALUE!</v>
      </c>
    </row>
    <row r="353" spans="21:23" x14ac:dyDescent="0.25">
      <c r="U353" s="1" t="str">
        <f>IFERROR(MONTH(DetteFrs[Date Saisie]),"")</f>
        <v/>
      </c>
      <c r="W353" s="1" t="e">
        <f>TEXT(DetteFrs[Date Saisie],"yyyy")</f>
        <v>#VALUE!</v>
      </c>
    </row>
    <row r="354" spans="21:23" x14ac:dyDescent="0.25">
      <c r="U354" s="1" t="str">
        <f>IFERROR(MONTH(DetteFrs[Date Saisie]),"")</f>
        <v/>
      </c>
      <c r="W354" s="1" t="e">
        <f>TEXT(DetteFrs[Date Saisie],"yyyy")</f>
        <v>#VALUE!</v>
      </c>
    </row>
    <row r="355" spans="21:23" x14ac:dyDescent="0.25">
      <c r="U355" s="1" t="str">
        <f>IFERROR(MONTH(DetteFrs[Date Saisie]),"")</f>
        <v/>
      </c>
      <c r="W355" s="1" t="e">
        <f>TEXT(DetteFrs[Date Saisie],"yyyy")</f>
        <v>#VALUE!</v>
      </c>
    </row>
    <row r="356" spans="21:23" x14ac:dyDescent="0.25">
      <c r="U356" s="1" t="str">
        <f>IFERROR(MONTH(DetteFrs[Date Saisie]),"")</f>
        <v/>
      </c>
      <c r="W356" s="1" t="e">
        <f>TEXT(DetteFrs[Date Saisie],"yyyy")</f>
        <v>#VALUE!</v>
      </c>
    </row>
    <row r="357" spans="21:23" x14ac:dyDescent="0.25">
      <c r="U357" s="1" t="str">
        <f>IFERROR(MONTH(DetteFrs[Date Saisie]),"")</f>
        <v/>
      </c>
      <c r="W357" s="1" t="e">
        <f>TEXT(DetteFrs[Date Saisie],"yyyy")</f>
        <v>#VALUE!</v>
      </c>
    </row>
    <row r="358" spans="21:23" x14ac:dyDescent="0.25">
      <c r="U358" s="1" t="str">
        <f>IFERROR(MONTH(DetteFrs[Date Saisie]),"")</f>
        <v/>
      </c>
      <c r="W358" s="1" t="e">
        <f>TEXT(DetteFrs[Date Saisie],"yyyy")</f>
        <v>#VALUE!</v>
      </c>
    </row>
    <row r="359" spans="21:23" x14ac:dyDescent="0.25">
      <c r="U359" s="1" t="str">
        <f>IFERROR(MONTH(DetteFrs[Date Saisie]),"")</f>
        <v/>
      </c>
      <c r="W359" s="1" t="e">
        <f>TEXT(DetteFrs[Date Saisie],"yyyy")</f>
        <v>#VALUE!</v>
      </c>
    </row>
    <row r="360" spans="21:23" x14ac:dyDescent="0.25">
      <c r="U360" s="1" t="str">
        <f>IFERROR(MONTH(DetteFrs[Date Saisie]),"")</f>
        <v/>
      </c>
      <c r="W360" s="1" t="e">
        <f>TEXT(DetteFrs[Date Saisie],"yyyy")</f>
        <v>#VALUE!</v>
      </c>
    </row>
    <row r="361" spans="21:23" x14ac:dyDescent="0.25">
      <c r="U361" s="1" t="str">
        <f>IFERROR(MONTH(DetteFrs[Date Saisie]),"")</f>
        <v/>
      </c>
      <c r="W361" s="1" t="e">
        <f>TEXT(DetteFrs[Date Saisie],"yyyy")</f>
        <v>#VALUE!</v>
      </c>
    </row>
    <row r="362" spans="21:23" x14ac:dyDescent="0.25">
      <c r="U362" s="1" t="str">
        <f>IFERROR(MONTH(DetteFrs[Date Saisie]),"")</f>
        <v/>
      </c>
      <c r="W362" s="1" t="e">
        <f>TEXT(DetteFrs[Date Saisie],"yyyy")</f>
        <v>#VALUE!</v>
      </c>
    </row>
    <row r="363" spans="21:23" x14ac:dyDescent="0.25">
      <c r="U363" s="1" t="str">
        <f>IFERROR(MONTH(DetteFrs[Date Saisie]),"")</f>
        <v/>
      </c>
      <c r="W363" s="1" t="e">
        <f>TEXT(DetteFrs[Date Saisie],"yyyy")</f>
        <v>#VALUE!</v>
      </c>
    </row>
    <row r="364" spans="21:23" x14ac:dyDescent="0.25">
      <c r="U364" s="1" t="str">
        <f>IFERROR(MONTH(DetteFrs[Date Saisie]),"")</f>
        <v/>
      </c>
      <c r="W364" s="1" t="e">
        <f>TEXT(DetteFrs[Date Saisie],"yyyy")</f>
        <v>#VALUE!</v>
      </c>
    </row>
    <row r="365" spans="21:23" x14ac:dyDescent="0.25">
      <c r="U365" s="1" t="str">
        <f>IFERROR(MONTH(DetteFrs[Date Saisie]),"")</f>
        <v/>
      </c>
      <c r="W365" s="1" t="e">
        <f>TEXT(DetteFrs[Date Saisie],"yyyy")</f>
        <v>#VALUE!</v>
      </c>
    </row>
    <row r="366" spans="21:23" x14ac:dyDescent="0.25">
      <c r="U366" s="1" t="str">
        <f>IFERROR(MONTH(DetteFrs[Date Saisie]),"")</f>
        <v/>
      </c>
      <c r="W366" s="1" t="e">
        <f>TEXT(DetteFrs[Date Saisie],"yyyy")</f>
        <v>#VALUE!</v>
      </c>
    </row>
    <row r="367" spans="21:23" x14ac:dyDescent="0.25">
      <c r="U367" s="1" t="str">
        <f>IFERROR(MONTH(DetteFrs[Date Saisie]),"")</f>
        <v/>
      </c>
      <c r="W367" s="1" t="e">
        <f>TEXT(DetteFrs[Date Saisie],"yyyy")</f>
        <v>#VALUE!</v>
      </c>
    </row>
    <row r="368" spans="21:23" x14ac:dyDescent="0.25">
      <c r="U368" s="1" t="str">
        <f>IFERROR(MONTH(DetteFrs[Date Saisie]),"")</f>
        <v/>
      </c>
      <c r="W368" s="1" t="e">
        <f>TEXT(DetteFrs[Date Saisie],"yyyy")</f>
        <v>#VALUE!</v>
      </c>
    </row>
    <row r="369" spans="21:23" x14ac:dyDescent="0.25">
      <c r="U369" s="1" t="str">
        <f>IFERROR(MONTH(DetteFrs[Date Saisie]),"")</f>
        <v/>
      </c>
      <c r="W369" s="1" t="e">
        <f>TEXT(DetteFrs[Date Saisie],"yyyy")</f>
        <v>#VALUE!</v>
      </c>
    </row>
    <row r="370" spans="21:23" x14ac:dyDescent="0.25">
      <c r="U370" s="1" t="str">
        <f>IFERROR(MONTH(DetteFrs[Date Saisie]),"")</f>
        <v/>
      </c>
      <c r="W370" s="1" t="e">
        <f>TEXT(DetteFrs[Date Saisie],"yyyy")</f>
        <v>#VALUE!</v>
      </c>
    </row>
    <row r="371" spans="21:23" x14ac:dyDescent="0.25">
      <c r="U371" s="1" t="str">
        <f>IFERROR(MONTH(DetteFrs[Date Saisie]),"")</f>
        <v/>
      </c>
      <c r="W371" s="1" t="e">
        <f>TEXT(DetteFrs[Date Saisie],"yyyy")</f>
        <v>#VALUE!</v>
      </c>
    </row>
    <row r="372" spans="21:23" x14ac:dyDescent="0.25">
      <c r="U372" s="1" t="str">
        <f>IFERROR(MONTH(DetteFrs[Date Saisie]),"")</f>
        <v/>
      </c>
      <c r="W372" s="1" t="e">
        <f>TEXT(DetteFrs[Date Saisie],"yyyy")</f>
        <v>#VALUE!</v>
      </c>
    </row>
    <row r="373" spans="21:23" x14ac:dyDescent="0.25">
      <c r="U373" s="1" t="str">
        <f>IFERROR(MONTH(DetteFrs[Date Saisie]),"")</f>
        <v/>
      </c>
      <c r="W373" s="1" t="e">
        <f>TEXT(DetteFrs[Date Saisie],"yyyy")</f>
        <v>#VALUE!</v>
      </c>
    </row>
    <row r="374" spans="21:23" x14ac:dyDescent="0.25">
      <c r="U374" s="1" t="str">
        <f>IFERROR(MONTH(DetteFrs[Date Saisie]),"")</f>
        <v/>
      </c>
      <c r="W374" s="1" t="e">
        <f>TEXT(DetteFrs[Date Saisie],"yyyy")</f>
        <v>#VALUE!</v>
      </c>
    </row>
    <row r="375" spans="21:23" x14ac:dyDescent="0.25">
      <c r="U375" s="1" t="str">
        <f>IFERROR(MONTH(DetteFrs[Date Saisie]),"")</f>
        <v/>
      </c>
      <c r="W375" s="1" t="e">
        <f>TEXT(DetteFrs[Date Saisie],"yyyy")</f>
        <v>#VALUE!</v>
      </c>
    </row>
    <row r="376" spans="21:23" x14ac:dyDescent="0.25">
      <c r="U376" s="1" t="str">
        <f>IFERROR(MONTH(DetteFrs[Date Saisie]),"")</f>
        <v/>
      </c>
      <c r="W376" s="1" t="e">
        <f>TEXT(DetteFrs[Date Saisie],"yyyy")</f>
        <v>#VALUE!</v>
      </c>
    </row>
    <row r="377" spans="21:23" x14ac:dyDescent="0.25">
      <c r="U377" s="1" t="str">
        <f>IFERROR(MONTH(DetteFrs[Date Saisie]),"")</f>
        <v/>
      </c>
      <c r="W377" s="1" t="e">
        <f>TEXT(DetteFrs[Date Saisie],"yyyy")</f>
        <v>#VALUE!</v>
      </c>
    </row>
    <row r="378" spans="21:23" x14ac:dyDescent="0.25">
      <c r="U378" s="1" t="str">
        <f>IFERROR(MONTH(DetteFrs[Date Saisie]),"")</f>
        <v/>
      </c>
      <c r="W378" s="1" t="e">
        <f>TEXT(DetteFrs[Date Saisie],"yyyy")</f>
        <v>#VALUE!</v>
      </c>
    </row>
    <row r="379" spans="21:23" x14ac:dyDescent="0.25">
      <c r="U379" s="1" t="str">
        <f>IFERROR(MONTH(DetteFrs[Date Saisie]),"")</f>
        <v/>
      </c>
      <c r="W379" s="1" t="e">
        <f>TEXT(DetteFrs[Date Saisie],"yyyy")</f>
        <v>#VALUE!</v>
      </c>
    </row>
    <row r="380" spans="21:23" x14ac:dyDescent="0.25">
      <c r="U380" s="1" t="str">
        <f>IFERROR(MONTH(DetteFrs[Date Saisie]),"")</f>
        <v/>
      </c>
      <c r="W380" s="1" t="e">
        <f>TEXT(DetteFrs[Date Saisie],"yyyy")</f>
        <v>#VALUE!</v>
      </c>
    </row>
    <row r="381" spans="21:23" x14ac:dyDescent="0.25">
      <c r="U381" s="1" t="str">
        <f>IFERROR(MONTH(DetteFrs[Date Saisie]),"")</f>
        <v/>
      </c>
      <c r="W381" s="1" t="e">
        <f>TEXT(DetteFrs[Date Saisie],"yyyy")</f>
        <v>#VALUE!</v>
      </c>
    </row>
    <row r="382" spans="21:23" x14ac:dyDescent="0.25">
      <c r="U382" s="1" t="str">
        <f>IFERROR(MONTH(DetteFrs[Date Saisie]),"")</f>
        <v/>
      </c>
      <c r="W382" s="1" t="e">
        <f>TEXT(DetteFrs[Date Saisie],"yyyy")</f>
        <v>#VALUE!</v>
      </c>
    </row>
    <row r="383" spans="21:23" x14ac:dyDescent="0.25">
      <c r="U383" s="1" t="str">
        <f>IFERROR(MONTH(DetteFrs[Date Saisie]),"")</f>
        <v/>
      </c>
      <c r="W383" s="1" t="e">
        <f>TEXT(DetteFrs[Date Saisie],"yyyy")</f>
        <v>#VALUE!</v>
      </c>
    </row>
    <row r="384" spans="21:23" x14ac:dyDescent="0.25">
      <c r="U384" s="1" t="str">
        <f>IFERROR(MONTH(DetteFrs[Date Saisie]),"")</f>
        <v/>
      </c>
      <c r="W384" s="1" t="e">
        <f>TEXT(DetteFrs[Date Saisie],"yyyy")</f>
        <v>#VALUE!</v>
      </c>
    </row>
    <row r="385" spans="21:23" x14ac:dyDescent="0.25">
      <c r="U385" s="1" t="str">
        <f>IFERROR(MONTH(DetteFrs[Date Saisie]),"")</f>
        <v/>
      </c>
      <c r="W385" s="1" t="e">
        <f>TEXT(DetteFrs[Date Saisie],"yyyy")</f>
        <v>#VALUE!</v>
      </c>
    </row>
    <row r="386" spans="21:23" x14ac:dyDescent="0.25">
      <c r="U386" s="1" t="str">
        <f>IFERROR(MONTH(DetteFrs[Date Saisie]),"")</f>
        <v/>
      </c>
      <c r="W386" s="1" t="e">
        <f>TEXT(DetteFrs[Date Saisie],"yyyy")</f>
        <v>#VALUE!</v>
      </c>
    </row>
    <row r="387" spans="21:23" x14ac:dyDescent="0.25">
      <c r="U387" s="1" t="str">
        <f>IFERROR(MONTH(DetteFrs[Date Saisie]),"")</f>
        <v/>
      </c>
      <c r="W387" s="1" t="e">
        <f>TEXT(DetteFrs[Date Saisie],"yyyy")</f>
        <v>#VALUE!</v>
      </c>
    </row>
    <row r="388" spans="21:23" x14ac:dyDescent="0.25">
      <c r="U388" s="1" t="str">
        <f>IFERROR(MONTH(DetteFrs[Date Saisie]),"")</f>
        <v/>
      </c>
      <c r="W388" s="1" t="e">
        <f>TEXT(DetteFrs[Date Saisie],"yyyy")</f>
        <v>#VALUE!</v>
      </c>
    </row>
    <row r="389" spans="21:23" x14ac:dyDescent="0.25">
      <c r="U389" s="1" t="str">
        <f>IFERROR(MONTH(DetteFrs[Date Saisie]),"")</f>
        <v/>
      </c>
      <c r="W389" s="1" t="e">
        <f>TEXT(DetteFrs[Date Saisie],"yyyy")</f>
        <v>#VALUE!</v>
      </c>
    </row>
    <row r="390" spans="21:23" x14ac:dyDescent="0.25">
      <c r="U390" s="1" t="str">
        <f>IFERROR(MONTH(DetteFrs[Date Saisie]),"")</f>
        <v/>
      </c>
      <c r="W390" s="1" t="e">
        <f>TEXT(DetteFrs[Date Saisie],"yyyy")</f>
        <v>#VALUE!</v>
      </c>
    </row>
    <row r="391" spans="21:23" x14ac:dyDescent="0.25">
      <c r="U391" s="1" t="str">
        <f>IFERROR(MONTH(DetteFrs[Date Saisie]),"")</f>
        <v/>
      </c>
      <c r="W391" s="1" t="e">
        <f>TEXT(DetteFrs[Date Saisie],"yyyy")</f>
        <v>#VALUE!</v>
      </c>
    </row>
    <row r="392" spans="21:23" x14ac:dyDescent="0.25">
      <c r="U392" s="1" t="str">
        <f>IFERROR(MONTH(DetteFrs[Date Saisie]),"")</f>
        <v/>
      </c>
      <c r="W392" s="1" t="e">
        <f>TEXT(DetteFrs[Date Saisie],"yyyy")</f>
        <v>#VALUE!</v>
      </c>
    </row>
    <row r="393" spans="21:23" x14ac:dyDescent="0.25">
      <c r="U393" s="1" t="str">
        <f>IFERROR(MONTH(DetteFrs[Date Saisie]),"")</f>
        <v/>
      </c>
      <c r="W393" s="1" t="e">
        <f>TEXT(DetteFrs[Date Saisie],"yyyy")</f>
        <v>#VALUE!</v>
      </c>
    </row>
    <row r="394" spans="21:23" x14ac:dyDescent="0.25">
      <c r="U394" s="1" t="str">
        <f>IFERROR(MONTH(DetteFrs[Date Saisie]),"")</f>
        <v/>
      </c>
      <c r="W394" s="1" t="e">
        <f>TEXT(DetteFrs[Date Saisie],"yyyy")</f>
        <v>#VALUE!</v>
      </c>
    </row>
    <row r="395" spans="21:23" x14ac:dyDescent="0.25">
      <c r="U395" s="1" t="str">
        <f>IFERROR(MONTH(DetteFrs[Date Saisie]),"")</f>
        <v/>
      </c>
      <c r="W395" s="1" t="e">
        <f>TEXT(DetteFrs[Date Saisie],"yyyy")</f>
        <v>#VALUE!</v>
      </c>
    </row>
    <row r="396" spans="21:23" x14ac:dyDescent="0.25">
      <c r="U396" s="1" t="str">
        <f>IFERROR(MONTH(DetteFrs[Date Saisie]),"")</f>
        <v/>
      </c>
      <c r="W396" s="1" t="e">
        <f>TEXT(DetteFrs[Date Saisie],"yyyy")</f>
        <v>#VALUE!</v>
      </c>
    </row>
    <row r="397" spans="21:23" x14ac:dyDescent="0.25">
      <c r="U397" s="1" t="str">
        <f>IFERROR(MONTH(DetteFrs[Date Saisie]),"")</f>
        <v/>
      </c>
      <c r="W397" s="1" t="e">
        <f>TEXT(DetteFrs[Date Saisie],"yyyy")</f>
        <v>#VALUE!</v>
      </c>
    </row>
    <row r="398" spans="21:23" x14ac:dyDescent="0.25">
      <c r="U398" s="1" t="str">
        <f>IFERROR(MONTH(DetteFrs[Date Saisie]),"")</f>
        <v/>
      </c>
      <c r="W398" s="1" t="e">
        <f>TEXT(DetteFrs[Date Saisie],"yyyy")</f>
        <v>#VALUE!</v>
      </c>
    </row>
    <row r="399" spans="21:23" x14ac:dyDescent="0.25">
      <c r="U399" s="1" t="str">
        <f>IFERROR(MONTH(DetteFrs[Date Saisie]),"")</f>
        <v/>
      </c>
      <c r="W399" s="1" t="e">
        <f>TEXT(DetteFrs[Date Saisie],"yyyy")</f>
        <v>#VALUE!</v>
      </c>
    </row>
    <row r="400" spans="21:23" x14ac:dyDescent="0.25">
      <c r="U400" s="1" t="str">
        <f>IFERROR(MONTH(DetteFrs[Date Saisie]),"")</f>
        <v/>
      </c>
      <c r="W400" s="1" t="e">
        <f>TEXT(DetteFrs[Date Saisie],"yyyy")</f>
        <v>#VALUE!</v>
      </c>
    </row>
    <row r="401" spans="21:23" x14ac:dyDescent="0.25">
      <c r="U401" s="1" t="str">
        <f>IFERROR(MONTH(DetteFrs[Date Saisie]),"")</f>
        <v/>
      </c>
      <c r="W401" s="1" t="e">
        <f>TEXT(DetteFrs[Date Saisie],"yyyy")</f>
        <v>#VALUE!</v>
      </c>
    </row>
    <row r="402" spans="21:23" x14ac:dyDescent="0.25">
      <c r="U402" s="1" t="str">
        <f>IFERROR(MONTH(DetteFrs[Date Saisie]),"")</f>
        <v/>
      </c>
      <c r="W402" s="1" t="e">
        <f>TEXT(DetteFrs[Date Saisie],"yyyy")</f>
        <v>#VALUE!</v>
      </c>
    </row>
    <row r="403" spans="21:23" x14ac:dyDescent="0.25">
      <c r="U403" s="1" t="str">
        <f>IFERROR(MONTH(DetteFrs[Date Saisie]),"")</f>
        <v/>
      </c>
      <c r="W403" s="1" t="e">
        <f>TEXT(DetteFrs[Date Saisie],"yyyy")</f>
        <v>#VALUE!</v>
      </c>
    </row>
    <row r="404" spans="21:23" x14ac:dyDescent="0.25">
      <c r="U404" s="1" t="str">
        <f>IFERROR(MONTH(DetteFrs[Date Saisie]),"")</f>
        <v/>
      </c>
      <c r="W404" s="1" t="e">
        <f>TEXT(DetteFrs[Date Saisie],"yyyy")</f>
        <v>#VALUE!</v>
      </c>
    </row>
    <row r="405" spans="21:23" x14ac:dyDescent="0.25">
      <c r="U405" s="1" t="str">
        <f>IFERROR(MONTH(DetteFrs[Date Saisie]),"")</f>
        <v/>
      </c>
      <c r="W405" s="1" t="e">
        <f>TEXT(DetteFrs[Date Saisie],"yyyy")</f>
        <v>#VALUE!</v>
      </c>
    </row>
    <row r="406" spans="21:23" x14ac:dyDescent="0.25">
      <c r="U406" s="1" t="str">
        <f>IFERROR(MONTH(DetteFrs[Date Saisie]),"")</f>
        <v/>
      </c>
      <c r="W406" s="1" t="e">
        <f>TEXT(DetteFrs[Date Saisie],"yyyy")</f>
        <v>#VALUE!</v>
      </c>
    </row>
    <row r="407" spans="21:23" x14ac:dyDescent="0.25">
      <c r="U407" s="1" t="str">
        <f>IFERROR(MONTH(DetteFrs[Date Saisie]),"")</f>
        <v/>
      </c>
      <c r="W407" s="1" t="e">
        <f>TEXT(DetteFrs[Date Saisie],"yyyy")</f>
        <v>#VALUE!</v>
      </c>
    </row>
    <row r="408" spans="21:23" x14ac:dyDescent="0.25">
      <c r="U408" s="1" t="str">
        <f>IFERROR(MONTH(DetteFrs[Date Saisie]),"")</f>
        <v/>
      </c>
      <c r="W408" s="1" t="e">
        <f>TEXT(DetteFrs[Date Saisie],"yyyy")</f>
        <v>#VALUE!</v>
      </c>
    </row>
    <row r="409" spans="21:23" x14ac:dyDescent="0.25">
      <c r="U409" s="1" t="str">
        <f>IFERROR(MONTH(DetteFrs[Date Saisie]),"")</f>
        <v/>
      </c>
      <c r="W409" s="1" t="e">
        <f>TEXT(DetteFrs[Date Saisie],"yyyy")</f>
        <v>#VALUE!</v>
      </c>
    </row>
    <row r="410" spans="21:23" x14ac:dyDescent="0.25">
      <c r="U410" s="1" t="str">
        <f>IFERROR(MONTH(DetteFrs[Date Saisie]),"")</f>
        <v/>
      </c>
      <c r="W410" s="1" t="e">
        <f>TEXT(DetteFrs[Date Saisie],"yyyy")</f>
        <v>#VALUE!</v>
      </c>
    </row>
    <row r="411" spans="21:23" x14ac:dyDescent="0.25">
      <c r="U411" s="1" t="str">
        <f>IFERROR(MONTH(DetteFrs[Date Saisie]),"")</f>
        <v/>
      </c>
      <c r="W411" s="1" t="e">
        <f>TEXT(DetteFrs[Date Saisie],"yyyy")</f>
        <v>#VALUE!</v>
      </c>
    </row>
    <row r="412" spans="21:23" x14ac:dyDescent="0.25">
      <c r="U412" s="1" t="str">
        <f>IFERROR(MONTH(DetteFrs[Date Saisie]),"")</f>
        <v/>
      </c>
      <c r="W412" s="1" t="e">
        <f>TEXT(DetteFrs[Date Saisie],"yyyy")</f>
        <v>#VALUE!</v>
      </c>
    </row>
    <row r="413" spans="21:23" x14ac:dyDescent="0.25">
      <c r="U413" s="1" t="str">
        <f>IFERROR(MONTH(DetteFrs[Date Saisie]),"")</f>
        <v/>
      </c>
      <c r="W413" s="1" t="e">
        <f>TEXT(DetteFrs[Date Saisie],"yyyy")</f>
        <v>#VALUE!</v>
      </c>
    </row>
    <row r="414" spans="21:23" x14ac:dyDescent="0.25">
      <c r="U414" s="1" t="str">
        <f>IFERROR(MONTH(DetteFrs[Date Saisie]),"")</f>
        <v/>
      </c>
      <c r="W414" s="1" t="e">
        <f>TEXT(DetteFrs[Date Saisie],"yyyy")</f>
        <v>#VALUE!</v>
      </c>
    </row>
    <row r="415" spans="21:23" x14ac:dyDescent="0.25">
      <c r="U415" s="1" t="str">
        <f>IFERROR(MONTH(DetteFrs[Date Saisie]),"")</f>
        <v/>
      </c>
      <c r="W415" s="1" t="e">
        <f>TEXT(DetteFrs[Date Saisie],"yyyy")</f>
        <v>#VALUE!</v>
      </c>
    </row>
    <row r="416" spans="21:23" x14ac:dyDescent="0.25">
      <c r="U416" s="1" t="str">
        <f>IFERROR(MONTH(DetteFrs[Date Saisie]),"")</f>
        <v/>
      </c>
      <c r="W416" s="1" t="e">
        <f>TEXT(DetteFrs[Date Saisie],"yyyy")</f>
        <v>#VALUE!</v>
      </c>
    </row>
    <row r="417" spans="21:23" x14ac:dyDescent="0.25">
      <c r="U417" s="1" t="str">
        <f>IFERROR(MONTH(DetteFrs[Date Saisie]),"")</f>
        <v/>
      </c>
      <c r="W417" s="1" t="e">
        <f>TEXT(DetteFrs[Date Saisie],"yyyy")</f>
        <v>#VALUE!</v>
      </c>
    </row>
    <row r="418" spans="21:23" x14ac:dyDescent="0.25">
      <c r="U418" s="1" t="str">
        <f>IFERROR(MONTH(DetteFrs[Date Saisie]),"")</f>
        <v/>
      </c>
      <c r="W418" s="1" t="e">
        <f>TEXT(DetteFrs[Date Saisie],"yyyy")</f>
        <v>#VALUE!</v>
      </c>
    </row>
    <row r="419" spans="21:23" x14ac:dyDescent="0.25">
      <c r="U419" s="1" t="str">
        <f>IFERROR(MONTH(DetteFrs[Date Saisie]),"")</f>
        <v/>
      </c>
      <c r="W419" s="1" t="e">
        <f>TEXT(DetteFrs[Date Saisie],"yyyy")</f>
        <v>#VALUE!</v>
      </c>
    </row>
    <row r="420" spans="21:23" x14ac:dyDescent="0.25">
      <c r="U420" s="1" t="str">
        <f>IFERROR(MONTH(DetteFrs[Date Saisie]),"")</f>
        <v/>
      </c>
      <c r="W420" s="1" t="e">
        <f>TEXT(DetteFrs[Date Saisie],"yyyy")</f>
        <v>#VALUE!</v>
      </c>
    </row>
    <row r="421" spans="21:23" x14ac:dyDescent="0.25">
      <c r="U421" s="1" t="str">
        <f>IFERROR(MONTH(DetteFrs[Date Saisie]),"")</f>
        <v/>
      </c>
      <c r="W421" s="1" t="e">
        <f>TEXT(DetteFrs[Date Saisie],"yyyy")</f>
        <v>#VALUE!</v>
      </c>
    </row>
    <row r="422" spans="21:23" x14ac:dyDescent="0.25">
      <c r="U422" s="1" t="str">
        <f>IFERROR(MONTH(DetteFrs[Date Saisie]),"")</f>
        <v/>
      </c>
      <c r="W422" s="1" t="e">
        <f>TEXT(DetteFrs[Date Saisie],"yyyy")</f>
        <v>#VALUE!</v>
      </c>
    </row>
    <row r="423" spans="21:23" x14ac:dyDescent="0.25">
      <c r="U423" s="1" t="str">
        <f>IFERROR(MONTH(DetteFrs[Date Saisie]),"")</f>
        <v/>
      </c>
      <c r="W423" s="1" t="e">
        <f>TEXT(DetteFrs[Date Saisie],"yyyy")</f>
        <v>#VALUE!</v>
      </c>
    </row>
    <row r="424" spans="21:23" x14ac:dyDescent="0.25">
      <c r="U424" s="1" t="str">
        <f>IFERROR(MONTH(DetteFrs[Date Saisie]),"")</f>
        <v/>
      </c>
      <c r="W424" s="1" t="e">
        <f>TEXT(DetteFrs[Date Saisie],"yyyy")</f>
        <v>#VALUE!</v>
      </c>
    </row>
    <row r="425" spans="21:23" x14ac:dyDescent="0.25">
      <c r="U425" s="1" t="str">
        <f>IFERROR(MONTH(DetteFrs[Date Saisie]),"")</f>
        <v/>
      </c>
      <c r="W425" s="1" t="e">
        <f>TEXT(DetteFrs[Date Saisie],"yyyy")</f>
        <v>#VALUE!</v>
      </c>
    </row>
    <row r="426" spans="21:23" x14ac:dyDescent="0.25">
      <c r="U426" s="1" t="str">
        <f>IFERROR(MONTH(DetteFrs[Date Saisie]),"")</f>
        <v/>
      </c>
      <c r="W426" s="1" t="e">
        <f>TEXT(DetteFrs[Date Saisie],"yyyy")</f>
        <v>#VALUE!</v>
      </c>
    </row>
    <row r="427" spans="21:23" x14ac:dyDescent="0.25">
      <c r="U427" s="1" t="str">
        <f>IFERROR(MONTH(DetteFrs[Date Saisie]),"")</f>
        <v/>
      </c>
      <c r="W427" s="1" t="e">
        <f>TEXT(DetteFrs[Date Saisie],"yyyy")</f>
        <v>#VALUE!</v>
      </c>
    </row>
    <row r="428" spans="21:23" x14ac:dyDescent="0.25">
      <c r="U428" s="1" t="str">
        <f>IFERROR(MONTH(DetteFrs[Date Saisie]),"")</f>
        <v/>
      </c>
      <c r="W428" s="1" t="e">
        <f>TEXT(DetteFrs[Date Saisie],"yyyy")</f>
        <v>#VALUE!</v>
      </c>
    </row>
    <row r="429" spans="21:23" x14ac:dyDescent="0.25">
      <c r="U429" s="1" t="str">
        <f>IFERROR(MONTH(DetteFrs[Date Saisie]),"")</f>
        <v/>
      </c>
      <c r="W429" s="1" t="e">
        <f>TEXT(DetteFrs[Date Saisie],"yyyy")</f>
        <v>#VALUE!</v>
      </c>
    </row>
    <row r="430" spans="21:23" x14ac:dyDescent="0.25">
      <c r="U430" s="1" t="str">
        <f>IFERROR(MONTH(DetteFrs[Date Saisie]),"")</f>
        <v/>
      </c>
      <c r="W430" s="1" t="e">
        <f>TEXT(DetteFrs[Date Saisie],"yyyy")</f>
        <v>#VALUE!</v>
      </c>
    </row>
    <row r="431" spans="21:23" x14ac:dyDescent="0.25">
      <c r="U431" s="1" t="str">
        <f>IFERROR(MONTH(DetteFrs[Date Saisie]),"")</f>
        <v/>
      </c>
      <c r="W431" s="1" t="e">
        <f>TEXT(DetteFrs[Date Saisie],"yyyy")</f>
        <v>#VALUE!</v>
      </c>
    </row>
    <row r="432" spans="21:23" x14ac:dyDescent="0.25">
      <c r="U432" s="1" t="str">
        <f>IFERROR(MONTH(DetteFrs[Date Saisie]),"")</f>
        <v/>
      </c>
      <c r="W432" s="1" t="e">
        <f>TEXT(DetteFrs[Date Saisie],"yyyy")</f>
        <v>#VALUE!</v>
      </c>
    </row>
    <row r="433" spans="21:23" x14ac:dyDescent="0.25">
      <c r="U433" s="1" t="str">
        <f>IFERROR(MONTH(DetteFrs[Date Saisie]),"")</f>
        <v/>
      </c>
      <c r="W433" s="1" t="e">
        <f>TEXT(DetteFrs[Date Saisie],"yyyy")</f>
        <v>#VALUE!</v>
      </c>
    </row>
    <row r="434" spans="21:23" x14ac:dyDescent="0.25">
      <c r="U434" s="1" t="str">
        <f>IFERROR(MONTH(DetteFrs[Date Saisie]),"")</f>
        <v/>
      </c>
      <c r="W434" s="1" t="e">
        <f>TEXT(DetteFrs[Date Saisie],"yyyy")</f>
        <v>#VALUE!</v>
      </c>
    </row>
    <row r="435" spans="21:23" x14ac:dyDescent="0.25">
      <c r="U435" s="1" t="str">
        <f>IFERROR(MONTH(DetteFrs[Date Saisie]),"")</f>
        <v/>
      </c>
      <c r="W435" s="1" t="e">
        <f>TEXT(DetteFrs[Date Saisie],"yyyy")</f>
        <v>#VALUE!</v>
      </c>
    </row>
    <row r="436" spans="21:23" x14ac:dyDescent="0.25">
      <c r="U436" s="1" t="str">
        <f>IFERROR(MONTH(DetteFrs[Date Saisie]),"")</f>
        <v/>
      </c>
      <c r="W436" s="1" t="e">
        <f>TEXT(DetteFrs[Date Saisie],"yyyy")</f>
        <v>#VALUE!</v>
      </c>
    </row>
    <row r="437" spans="21:23" x14ac:dyDescent="0.25">
      <c r="U437" s="1" t="str">
        <f>IFERROR(MONTH(DetteFrs[Date Saisie]),"")</f>
        <v/>
      </c>
      <c r="W437" s="1" t="e">
        <f>TEXT(DetteFrs[Date Saisie],"yyyy")</f>
        <v>#VALUE!</v>
      </c>
    </row>
    <row r="438" spans="21:23" x14ac:dyDescent="0.25">
      <c r="U438" s="1" t="str">
        <f>IFERROR(MONTH(DetteFrs[Date Saisie]),"")</f>
        <v/>
      </c>
      <c r="W438" s="1" t="e">
        <f>TEXT(DetteFrs[Date Saisie],"yyyy")</f>
        <v>#VALUE!</v>
      </c>
    </row>
    <row r="439" spans="21:23" x14ac:dyDescent="0.25">
      <c r="U439" s="1" t="str">
        <f>IFERROR(MONTH(DetteFrs[Date Saisie]),"")</f>
        <v/>
      </c>
      <c r="W439" s="1" t="e">
        <f>TEXT(DetteFrs[Date Saisie],"yyyy")</f>
        <v>#VALUE!</v>
      </c>
    </row>
    <row r="440" spans="21:23" x14ac:dyDescent="0.25">
      <c r="U440" s="1" t="str">
        <f>IFERROR(MONTH(DetteFrs[Date Saisie]),"")</f>
        <v/>
      </c>
      <c r="W440" s="1" t="e">
        <f>TEXT(DetteFrs[Date Saisie],"yyyy")</f>
        <v>#VALUE!</v>
      </c>
    </row>
    <row r="441" spans="21:23" x14ac:dyDescent="0.25">
      <c r="U441" s="1" t="str">
        <f>IFERROR(MONTH(DetteFrs[Date Saisie]),"")</f>
        <v/>
      </c>
      <c r="W441" s="1" t="e">
        <f>TEXT(DetteFrs[Date Saisie],"yyyy")</f>
        <v>#VALUE!</v>
      </c>
    </row>
    <row r="442" spans="21:23" x14ac:dyDescent="0.25">
      <c r="U442" s="1" t="str">
        <f>IFERROR(MONTH(DetteFrs[Date Saisie]),"")</f>
        <v/>
      </c>
      <c r="W442" s="1" t="e">
        <f>TEXT(DetteFrs[Date Saisie],"yyyy")</f>
        <v>#VALUE!</v>
      </c>
    </row>
    <row r="443" spans="21:23" x14ac:dyDescent="0.25">
      <c r="U443" s="1" t="str">
        <f>IFERROR(MONTH(DetteFrs[Date Saisie]),"")</f>
        <v/>
      </c>
      <c r="W443" s="1" t="e">
        <f>TEXT(DetteFrs[Date Saisie],"yyyy")</f>
        <v>#VALUE!</v>
      </c>
    </row>
    <row r="444" spans="21:23" x14ac:dyDescent="0.25">
      <c r="U444" s="1" t="str">
        <f>IFERROR(MONTH(DetteFrs[Date Saisie]),"")</f>
        <v/>
      </c>
      <c r="W444" s="1" t="e">
        <f>TEXT(DetteFrs[Date Saisie],"yyyy")</f>
        <v>#VALUE!</v>
      </c>
    </row>
    <row r="445" spans="21:23" x14ac:dyDescent="0.25">
      <c r="U445" s="1" t="str">
        <f>IFERROR(MONTH(DetteFrs[Date Saisie]),"")</f>
        <v/>
      </c>
      <c r="W445" s="1" t="e">
        <f>TEXT(DetteFrs[Date Saisie],"yyyy")</f>
        <v>#VALUE!</v>
      </c>
    </row>
    <row r="446" spans="21:23" x14ac:dyDescent="0.25">
      <c r="U446" s="1" t="str">
        <f>IFERROR(MONTH(DetteFrs[Date Saisie]),"")</f>
        <v/>
      </c>
      <c r="W446" s="1" t="e">
        <f>TEXT(DetteFrs[Date Saisie],"yyyy")</f>
        <v>#VALUE!</v>
      </c>
    </row>
    <row r="447" spans="21:23" x14ac:dyDescent="0.25">
      <c r="U447" s="1" t="str">
        <f>IFERROR(MONTH(DetteFrs[Date Saisie]),"")</f>
        <v/>
      </c>
      <c r="W447" s="1" t="e">
        <f>TEXT(DetteFrs[Date Saisie],"yyyy")</f>
        <v>#VALUE!</v>
      </c>
    </row>
    <row r="448" spans="21:23" x14ac:dyDescent="0.25">
      <c r="U448" s="1" t="str">
        <f>IFERROR(MONTH(DetteFrs[Date Saisie]),"")</f>
        <v/>
      </c>
      <c r="W448" s="1" t="e">
        <f>TEXT(DetteFrs[Date Saisie],"yyyy")</f>
        <v>#VALUE!</v>
      </c>
    </row>
    <row r="449" spans="21:23" x14ac:dyDescent="0.25">
      <c r="U449" s="1" t="str">
        <f>IFERROR(MONTH(DetteFrs[Date Saisie]),"")</f>
        <v/>
      </c>
      <c r="W449" s="1" t="e">
        <f>TEXT(DetteFrs[Date Saisie],"yyyy")</f>
        <v>#VALUE!</v>
      </c>
    </row>
    <row r="450" spans="21:23" x14ac:dyDescent="0.25">
      <c r="U450" s="1" t="str">
        <f>IFERROR(MONTH(DetteFrs[Date Saisie]),"")</f>
        <v/>
      </c>
      <c r="W450" s="1" t="e">
        <f>TEXT(DetteFrs[Date Saisie],"yyyy")</f>
        <v>#VALUE!</v>
      </c>
    </row>
    <row r="451" spans="21:23" x14ac:dyDescent="0.25">
      <c r="U451" s="1" t="str">
        <f>IFERROR(MONTH(DetteFrs[Date Saisie]),"")</f>
        <v/>
      </c>
      <c r="W451" s="1" t="e">
        <f>TEXT(DetteFrs[Date Saisie],"yyyy")</f>
        <v>#VALUE!</v>
      </c>
    </row>
    <row r="452" spans="21:23" x14ac:dyDescent="0.25">
      <c r="U452" s="1" t="str">
        <f>IFERROR(MONTH(DetteFrs[Date Saisie]),"")</f>
        <v/>
      </c>
      <c r="W452" s="1" t="e">
        <f>TEXT(DetteFrs[Date Saisie],"yyyy")</f>
        <v>#VALUE!</v>
      </c>
    </row>
    <row r="453" spans="21:23" x14ac:dyDescent="0.25">
      <c r="U453" s="1" t="str">
        <f>IFERROR(MONTH(DetteFrs[Date Saisie]),"")</f>
        <v/>
      </c>
      <c r="W453" s="1" t="e">
        <f>TEXT(DetteFrs[Date Saisie],"yyyy")</f>
        <v>#VALUE!</v>
      </c>
    </row>
    <row r="454" spans="21:23" x14ac:dyDescent="0.25">
      <c r="U454" s="1" t="str">
        <f>IFERROR(MONTH(DetteFrs[Date Saisie]),"")</f>
        <v/>
      </c>
      <c r="W454" s="1" t="e">
        <f>TEXT(DetteFrs[Date Saisie],"yyyy")</f>
        <v>#VALUE!</v>
      </c>
    </row>
    <row r="455" spans="21:23" x14ac:dyDescent="0.25">
      <c r="U455" s="1" t="str">
        <f>IFERROR(MONTH(DetteFrs[Date Saisie]),"")</f>
        <v/>
      </c>
      <c r="W455" s="1" t="e">
        <f>TEXT(DetteFrs[Date Saisie],"yyyy")</f>
        <v>#VALUE!</v>
      </c>
    </row>
    <row r="456" spans="21:23" x14ac:dyDescent="0.25">
      <c r="U456" s="1" t="str">
        <f>IFERROR(MONTH(DetteFrs[Date Saisie]),"")</f>
        <v/>
      </c>
      <c r="W456" s="1" t="e">
        <f>TEXT(DetteFrs[Date Saisie],"yyyy")</f>
        <v>#VALUE!</v>
      </c>
    </row>
    <row r="457" spans="21:23" x14ac:dyDescent="0.25">
      <c r="U457" s="1" t="str">
        <f>IFERROR(MONTH(DetteFrs[Date Saisie]),"")</f>
        <v/>
      </c>
      <c r="W457" s="1" t="e">
        <f>TEXT(DetteFrs[Date Saisie],"yyyy")</f>
        <v>#VALUE!</v>
      </c>
    </row>
    <row r="458" spans="21:23" x14ac:dyDescent="0.25">
      <c r="U458" s="1" t="str">
        <f>IFERROR(MONTH(DetteFrs[Date Saisie]),"")</f>
        <v/>
      </c>
      <c r="W458" s="1" t="e">
        <f>TEXT(DetteFrs[Date Saisie],"yyyy")</f>
        <v>#VALUE!</v>
      </c>
    </row>
    <row r="459" spans="21:23" x14ac:dyDescent="0.25">
      <c r="U459" s="1" t="str">
        <f>IFERROR(MONTH(DetteFrs[Date Saisie]),"")</f>
        <v/>
      </c>
      <c r="W459" s="1" t="e">
        <f>TEXT(DetteFrs[Date Saisie],"yyyy")</f>
        <v>#VALUE!</v>
      </c>
    </row>
    <row r="460" spans="21:23" x14ac:dyDescent="0.25">
      <c r="U460" s="1" t="str">
        <f>IFERROR(MONTH(DetteFrs[Date Saisie]),"")</f>
        <v/>
      </c>
      <c r="W460" s="1" t="e">
        <f>TEXT(DetteFrs[Date Saisie],"yyyy")</f>
        <v>#VALUE!</v>
      </c>
    </row>
    <row r="461" spans="21:23" x14ac:dyDescent="0.25">
      <c r="U461" s="1" t="str">
        <f>IFERROR(MONTH(DetteFrs[Date Saisie]),"")</f>
        <v/>
      </c>
      <c r="W461" s="1" t="e">
        <f>TEXT(DetteFrs[Date Saisie],"yyyy")</f>
        <v>#VALUE!</v>
      </c>
    </row>
    <row r="462" spans="21:23" x14ac:dyDescent="0.25">
      <c r="U462" s="1" t="str">
        <f>IFERROR(MONTH(DetteFrs[Date Saisie]),"")</f>
        <v/>
      </c>
      <c r="W462" s="1" t="e">
        <f>TEXT(DetteFrs[Date Saisie],"yyyy")</f>
        <v>#VALUE!</v>
      </c>
    </row>
    <row r="463" spans="21:23" x14ac:dyDescent="0.25">
      <c r="U463" s="1" t="str">
        <f>IFERROR(MONTH(DetteFrs[Date Saisie]),"")</f>
        <v/>
      </c>
      <c r="W463" s="1" t="e">
        <f>TEXT(DetteFrs[Date Saisie],"yyyy")</f>
        <v>#VALUE!</v>
      </c>
    </row>
    <row r="464" spans="21:23" x14ac:dyDescent="0.25">
      <c r="U464" s="1" t="str">
        <f>IFERROR(MONTH(DetteFrs[Date Saisie]),"")</f>
        <v/>
      </c>
      <c r="W464" s="1" t="e">
        <f>TEXT(DetteFrs[Date Saisie],"yyyy")</f>
        <v>#VALUE!</v>
      </c>
    </row>
    <row r="465" spans="21:23" x14ac:dyDescent="0.25">
      <c r="U465" s="1" t="str">
        <f>IFERROR(MONTH(DetteFrs[Date Saisie]),"")</f>
        <v/>
      </c>
      <c r="W465" s="1" t="e">
        <f>TEXT(DetteFrs[Date Saisie],"yyyy")</f>
        <v>#VALUE!</v>
      </c>
    </row>
    <row r="466" spans="21:23" x14ac:dyDescent="0.25">
      <c r="U466" s="1" t="str">
        <f>IFERROR(MONTH(DetteFrs[Date Saisie]),"")</f>
        <v/>
      </c>
      <c r="W466" s="1" t="e">
        <f>TEXT(DetteFrs[Date Saisie],"yyyy")</f>
        <v>#VALUE!</v>
      </c>
    </row>
    <row r="467" spans="21:23" x14ac:dyDescent="0.25">
      <c r="U467" s="1" t="str">
        <f>IFERROR(MONTH(DetteFrs[Date Saisie]),"")</f>
        <v/>
      </c>
      <c r="W467" s="1" t="e">
        <f>TEXT(DetteFrs[Date Saisie],"yyyy")</f>
        <v>#VALUE!</v>
      </c>
    </row>
    <row r="468" spans="21:23" x14ac:dyDescent="0.25">
      <c r="U468" s="1" t="str">
        <f>IFERROR(MONTH(DetteFrs[Date Saisie]),"")</f>
        <v/>
      </c>
      <c r="W468" s="1" t="e">
        <f>TEXT(DetteFrs[Date Saisie],"yyyy")</f>
        <v>#VALUE!</v>
      </c>
    </row>
    <row r="469" spans="21:23" x14ac:dyDescent="0.25">
      <c r="U469" s="1" t="str">
        <f>IFERROR(MONTH(DetteFrs[Date Saisie]),"")</f>
        <v/>
      </c>
      <c r="W469" s="1" t="e">
        <f>TEXT(DetteFrs[Date Saisie],"yyyy")</f>
        <v>#VALUE!</v>
      </c>
    </row>
    <row r="470" spans="21:23" x14ac:dyDescent="0.25">
      <c r="U470" s="1" t="str">
        <f>IFERROR(MONTH(DetteFrs[Date Saisie]),"")</f>
        <v/>
      </c>
      <c r="W470" s="1" t="e">
        <f>TEXT(DetteFrs[Date Saisie],"yyyy")</f>
        <v>#VALUE!</v>
      </c>
    </row>
    <row r="471" spans="21:23" x14ac:dyDescent="0.25">
      <c r="U471" s="1" t="str">
        <f>IFERROR(MONTH(DetteFrs[Date Saisie]),"")</f>
        <v/>
      </c>
      <c r="W471" s="1" t="e">
        <f>TEXT(DetteFrs[Date Saisie],"yyyy")</f>
        <v>#VALUE!</v>
      </c>
    </row>
    <row r="472" spans="21:23" x14ac:dyDescent="0.25">
      <c r="U472" s="1" t="str">
        <f>IFERROR(MONTH(DetteFrs[Date Saisie]),"")</f>
        <v/>
      </c>
      <c r="W472" s="1" t="e">
        <f>TEXT(DetteFrs[Date Saisie],"yyyy")</f>
        <v>#VALUE!</v>
      </c>
    </row>
    <row r="473" spans="21:23" x14ac:dyDescent="0.25">
      <c r="U473" s="1" t="str">
        <f>IFERROR(MONTH(DetteFrs[Date Saisie]),"")</f>
        <v/>
      </c>
      <c r="W473" s="1" t="e">
        <f>TEXT(DetteFrs[Date Saisie],"yyyy")</f>
        <v>#VALUE!</v>
      </c>
    </row>
    <row r="474" spans="21:23" x14ac:dyDescent="0.25">
      <c r="U474" s="1" t="str">
        <f>IFERROR(MONTH(DetteFrs[Date Saisie]),"")</f>
        <v/>
      </c>
      <c r="W474" s="1" t="e">
        <f>TEXT(DetteFrs[Date Saisie],"yyyy")</f>
        <v>#VALUE!</v>
      </c>
    </row>
    <row r="475" spans="21:23" x14ac:dyDescent="0.25">
      <c r="U475" s="1" t="str">
        <f>IFERROR(MONTH(DetteFrs[Date Saisie]),"")</f>
        <v/>
      </c>
      <c r="W475" s="1" t="e">
        <f>TEXT(DetteFrs[Date Saisie],"yyyy")</f>
        <v>#VALUE!</v>
      </c>
    </row>
    <row r="476" spans="21:23" x14ac:dyDescent="0.25">
      <c r="U476" s="1" t="str">
        <f>IFERROR(MONTH(DetteFrs[Date Saisie]),"")</f>
        <v/>
      </c>
      <c r="W476" s="1" t="e">
        <f>TEXT(DetteFrs[Date Saisie],"yyyy")</f>
        <v>#VALUE!</v>
      </c>
    </row>
    <row r="477" spans="21:23" x14ac:dyDescent="0.25">
      <c r="U477" s="1" t="str">
        <f>IFERROR(MONTH(DetteFrs[Date Saisie]),"")</f>
        <v/>
      </c>
      <c r="W477" s="1" t="e">
        <f>TEXT(DetteFrs[Date Saisie],"yyyy")</f>
        <v>#VALUE!</v>
      </c>
    </row>
    <row r="478" spans="21:23" x14ac:dyDescent="0.25">
      <c r="U478" s="1" t="str">
        <f>IFERROR(MONTH(DetteFrs[Date Saisie]),"")</f>
        <v/>
      </c>
      <c r="W478" s="1" t="e">
        <f>TEXT(DetteFrs[Date Saisie],"yyyy")</f>
        <v>#VALUE!</v>
      </c>
    </row>
    <row r="479" spans="21:23" x14ac:dyDescent="0.25">
      <c r="U479" s="1" t="str">
        <f>IFERROR(MONTH(DetteFrs[Date Saisie]),"")</f>
        <v/>
      </c>
      <c r="W479" s="1" t="e">
        <f>TEXT(DetteFrs[Date Saisie],"yyyy")</f>
        <v>#VALUE!</v>
      </c>
    </row>
    <row r="480" spans="21:23" x14ac:dyDescent="0.25">
      <c r="U480" s="1" t="str">
        <f>IFERROR(MONTH(DetteFrs[Date Saisie]),"")</f>
        <v/>
      </c>
      <c r="W480" s="1" t="e">
        <f>TEXT(DetteFrs[Date Saisie],"yyyy")</f>
        <v>#VALUE!</v>
      </c>
    </row>
    <row r="481" spans="21:23" x14ac:dyDescent="0.25">
      <c r="U481" s="1" t="str">
        <f>IFERROR(MONTH(DetteFrs[Date Saisie]),"")</f>
        <v/>
      </c>
      <c r="W481" s="1" t="e">
        <f>TEXT(DetteFrs[Date Saisie],"yyyy")</f>
        <v>#VALUE!</v>
      </c>
    </row>
    <row r="482" spans="21:23" x14ac:dyDescent="0.25">
      <c r="U482" s="1" t="str">
        <f>IFERROR(MONTH(DetteFrs[Date Saisie]),"")</f>
        <v/>
      </c>
      <c r="W482" s="1" t="e">
        <f>TEXT(DetteFrs[Date Saisie],"yyyy")</f>
        <v>#VALUE!</v>
      </c>
    </row>
    <row r="483" spans="21:23" x14ac:dyDescent="0.25">
      <c r="U483" s="1" t="str">
        <f>IFERROR(MONTH(DetteFrs[Date Saisie]),"")</f>
        <v/>
      </c>
      <c r="W483" s="1" t="e">
        <f>TEXT(DetteFrs[Date Saisie],"yyyy")</f>
        <v>#VALUE!</v>
      </c>
    </row>
    <row r="484" spans="21:23" x14ac:dyDescent="0.25">
      <c r="U484" s="1" t="str">
        <f>IFERROR(MONTH(DetteFrs[Date Saisie]),"")</f>
        <v/>
      </c>
      <c r="W484" s="1" t="e">
        <f>TEXT(DetteFrs[Date Saisie],"yyyy")</f>
        <v>#VALUE!</v>
      </c>
    </row>
    <row r="485" spans="21:23" x14ac:dyDescent="0.25">
      <c r="U485" s="1" t="str">
        <f>IFERROR(MONTH(DetteFrs[Date Saisie]),"")</f>
        <v/>
      </c>
      <c r="W485" s="1" t="e">
        <f>TEXT(DetteFrs[Date Saisie],"yyyy")</f>
        <v>#VALUE!</v>
      </c>
    </row>
    <row r="486" spans="21:23" x14ac:dyDescent="0.25">
      <c r="U486" s="1" t="str">
        <f>IFERROR(MONTH(DetteFrs[Date Saisie]),"")</f>
        <v/>
      </c>
      <c r="W486" s="1" t="e">
        <f>TEXT(DetteFrs[Date Saisie],"yyyy")</f>
        <v>#VALUE!</v>
      </c>
    </row>
    <row r="487" spans="21:23" x14ac:dyDescent="0.25">
      <c r="U487" s="1" t="str">
        <f>IFERROR(MONTH(DetteFrs[Date Saisie]),"")</f>
        <v/>
      </c>
      <c r="W487" s="1" t="e">
        <f>TEXT(DetteFrs[Date Saisie],"yyyy")</f>
        <v>#VALUE!</v>
      </c>
    </row>
    <row r="488" spans="21:23" x14ac:dyDescent="0.25">
      <c r="U488" s="1" t="str">
        <f>IFERROR(MONTH(DetteFrs[Date Saisie]),"")</f>
        <v/>
      </c>
      <c r="W488" s="1" t="e">
        <f>TEXT(DetteFrs[Date Saisie],"yyyy")</f>
        <v>#VALUE!</v>
      </c>
    </row>
    <row r="489" spans="21:23" x14ac:dyDescent="0.25">
      <c r="U489" s="1" t="str">
        <f>IFERROR(MONTH(DetteFrs[Date Saisie]),"")</f>
        <v/>
      </c>
      <c r="W489" s="1" t="e">
        <f>TEXT(DetteFrs[Date Saisie],"yyyy")</f>
        <v>#VALUE!</v>
      </c>
    </row>
    <row r="490" spans="21:23" x14ac:dyDescent="0.25">
      <c r="U490" s="1" t="str">
        <f>IFERROR(MONTH(DetteFrs[Date Saisie]),"")</f>
        <v/>
      </c>
      <c r="W490" s="1" t="e">
        <f>TEXT(DetteFrs[Date Saisie],"yyyy")</f>
        <v>#VALUE!</v>
      </c>
    </row>
    <row r="491" spans="21:23" x14ac:dyDescent="0.25">
      <c r="U491" s="1" t="str">
        <f>IFERROR(MONTH(DetteFrs[Date Saisie]),"")</f>
        <v/>
      </c>
      <c r="W491" s="1" t="e">
        <f>TEXT(DetteFrs[Date Saisie],"yyyy")</f>
        <v>#VALUE!</v>
      </c>
    </row>
    <row r="492" spans="21:23" x14ac:dyDescent="0.25">
      <c r="U492" s="1" t="str">
        <f>IFERROR(MONTH(DetteFrs[Date Saisie]),"")</f>
        <v/>
      </c>
      <c r="W492" s="1" t="e">
        <f>TEXT(DetteFrs[Date Saisie],"yyyy")</f>
        <v>#VALUE!</v>
      </c>
    </row>
    <row r="493" spans="21:23" x14ac:dyDescent="0.25">
      <c r="U493" s="1" t="str">
        <f>IFERROR(MONTH(DetteFrs[Date Saisie]),"")</f>
        <v/>
      </c>
      <c r="W493" s="1" t="e">
        <f>TEXT(DetteFrs[Date Saisie],"yyyy")</f>
        <v>#VALUE!</v>
      </c>
    </row>
    <row r="494" spans="21:23" x14ac:dyDescent="0.25">
      <c r="U494" s="1" t="str">
        <f>IFERROR(MONTH(DetteFrs[Date Saisie]),"")</f>
        <v/>
      </c>
      <c r="W494" s="1" t="e">
        <f>TEXT(DetteFrs[Date Saisie],"yyyy")</f>
        <v>#VALUE!</v>
      </c>
    </row>
    <row r="495" spans="21:23" x14ac:dyDescent="0.25">
      <c r="U495" s="1" t="str">
        <f>IFERROR(MONTH(DetteFrs[Date Saisie]),"")</f>
        <v/>
      </c>
      <c r="W495" s="1" t="e">
        <f>TEXT(DetteFrs[Date Saisie],"yyyy")</f>
        <v>#VALUE!</v>
      </c>
    </row>
    <row r="496" spans="21:23" x14ac:dyDescent="0.25">
      <c r="U496" s="1" t="str">
        <f>IFERROR(MONTH(DetteFrs[Date Saisie]),"")</f>
        <v/>
      </c>
      <c r="W496" s="1" t="e">
        <f>TEXT(DetteFrs[Date Saisie],"yyyy")</f>
        <v>#VALUE!</v>
      </c>
    </row>
    <row r="497" spans="21:23" x14ac:dyDescent="0.25">
      <c r="U497" s="1" t="str">
        <f>IFERROR(MONTH(DetteFrs[Date Saisie]),"")</f>
        <v/>
      </c>
      <c r="W497" s="1" t="e">
        <f>TEXT(DetteFrs[Date Saisie],"yyyy")</f>
        <v>#VALUE!</v>
      </c>
    </row>
    <row r="498" spans="21:23" x14ac:dyDescent="0.25">
      <c r="U498" s="1" t="str">
        <f>IFERROR(MONTH(DetteFrs[Date Saisie]),"")</f>
        <v/>
      </c>
      <c r="W498" s="1" t="e">
        <f>TEXT(DetteFrs[Date Saisie],"yyyy")</f>
        <v>#VALUE!</v>
      </c>
    </row>
    <row r="499" spans="21:23" x14ac:dyDescent="0.25">
      <c r="U499" s="1" t="str">
        <f>IFERROR(MONTH(DetteFrs[Date Saisie]),"")</f>
        <v/>
      </c>
      <c r="W499" s="1" t="e">
        <f>TEXT(DetteFrs[Date Saisie],"yyyy")</f>
        <v>#VALUE!</v>
      </c>
    </row>
    <row r="500" spans="21:23" x14ac:dyDescent="0.25">
      <c r="U500" s="1" t="str">
        <f>IFERROR(MONTH(DetteFrs[Date Saisie]),"")</f>
        <v/>
      </c>
      <c r="W500" s="1" t="e">
        <f>TEXT(DetteFrs[Date Saisie],"yyyy")</f>
        <v>#VALUE!</v>
      </c>
    </row>
    <row r="501" spans="21:23" x14ac:dyDescent="0.25">
      <c r="U501" s="1" t="str">
        <f>IFERROR(MONTH(DetteFrs[Date Saisie]),"")</f>
        <v/>
      </c>
      <c r="W501" s="1" t="e">
        <f>TEXT(DetteFrs[Date Saisie],"yyyy")</f>
        <v>#VALUE!</v>
      </c>
    </row>
    <row r="502" spans="21:23" x14ac:dyDescent="0.25">
      <c r="U502" s="1" t="str">
        <f>IFERROR(MONTH(DetteFrs[Date Saisie]),"")</f>
        <v/>
      </c>
      <c r="W502" s="1" t="e">
        <f>TEXT(DetteFrs[Date Saisie],"yyyy")</f>
        <v>#VALUE!</v>
      </c>
    </row>
    <row r="503" spans="21:23" x14ac:dyDescent="0.25">
      <c r="U503" s="1" t="str">
        <f>IFERROR(MONTH(DetteFrs[Date Saisie]),"")</f>
        <v/>
      </c>
      <c r="W503" s="1" t="e">
        <f>TEXT(DetteFrs[Date Saisie],"yyyy")</f>
        <v>#VALUE!</v>
      </c>
    </row>
    <row r="504" spans="21:23" x14ac:dyDescent="0.25">
      <c r="U504" s="1" t="str">
        <f>IFERROR(MONTH(DetteFrs[Date Saisie]),"")</f>
        <v/>
      </c>
      <c r="W504" s="1" t="e">
        <f>TEXT(DetteFrs[Date Saisie],"yyyy")</f>
        <v>#VALUE!</v>
      </c>
    </row>
    <row r="505" spans="21:23" x14ac:dyDescent="0.25">
      <c r="U505" s="1" t="str">
        <f>IFERROR(MONTH(DetteFrs[Date Saisie]),"")</f>
        <v/>
      </c>
      <c r="W505" s="1" t="e">
        <f>TEXT(DetteFrs[Date Saisie],"yyyy")</f>
        <v>#VALUE!</v>
      </c>
    </row>
    <row r="506" spans="21:23" x14ac:dyDescent="0.25">
      <c r="U506" s="1" t="str">
        <f>IFERROR(MONTH(DetteFrs[Date Saisie]),"")</f>
        <v/>
      </c>
      <c r="W506" s="1" t="e">
        <f>TEXT(DetteFrs[Date Saisie],"yyyy")</f>
        <v>#VALUE!</v>
      </c>
    </row>
    <row r="507" spans="21:23" x14ac:dyDescent="0.25">
      <c r="U507" s="1" t="str">
        <f>IFERROR(MONTH(DetteFrs[Date Saisie]),"")</f>
        <v/>
      </c>
      <c r="W507" s="1" t="e">
        <f>TEXT(DetteFrs[Date Saisie],"yyyy")</f>
        <v>#VALUE!</v>
      </c>
    </row>
    <row r="508" spans="21:23" x14ac:dyDescent="0.25">
      <c r="U508" s="1" t="str">
        <f>IFERROR(MONTH(DetteFrs[Date Saisie]),"")</f>
        <v/>
      </c>
      <c r="W508" s="1" t="e">
        <f>TEXT(DetteFrs[Date Saisie],"yyyy")</f>
        <v>#VALUE!</v>
      </c>
    </row>
    <row r="509" spans="21:23" x14ac:dyDescent="0.25">
      <c r="U509" s="1" t="str">
        <f>IFERROR(MONTH(DetteFrs[Date Saisie]),"")</f>
        <v/>
      </c>
      <c r="W509" s="1" t="e">
        <f>TEXT(DetteFrs[Date Saisie],"yyyy")</f>
        <v>#VALUE!</v>
      </c>
    </row>
    <row r="510" spans="21:23" x14ac:dyDescent="0.25">
      <c r="U510" s="1" t="str">
        <f>IFERROR(MONTH(DetteFrs[Date Saisie]),"")</f>
        <v/>
      </c>
      <c r="W510" s="1" t="e">
        <f>TEXT(DetteFrs[Date Saisie],"yyyy")</f>
        <v>#VALUE!</v>
      </c>
    </row>
    <row r="511" spans="21:23" x14ac:dyDescent="0.25">
      <c r="U511" s="1" t="str">
        <f>IFERROR(MONTH(DetteFrs[Date Saisie]),"")</f>
        <v/>
      </c>
      <c r="W511" s="1" t="e">
        <f>TEXT(DetteFrs[Date Saisie],"yyyy")</f>
        <v>#VALUE!</v>
      </c>
    </row>
    <row r="512" spans="21:23" x14ac:dyDescent="0.25">
      <c r="U512" s="1" t="str">
        <f>IFERROR(MONTH(DetteFrs[Date Saisie]),"")</f>
        <v/>
      </c>
      <c r="W512" s="1" t="e">
        <f>TEXT(DetteFrs[Date Saisie],"yyyy")</f>
        <v>#VALUE!</v>
      </c>
    </row>
    <row r="513" spans="21:23" x14ac:dyDescent="0.25">
      <c r="U513" s="1" t="str">
        <f>IFERROR(MONTH(DetteFrs[Date Saisie]),"")</f>
        <v/>
      </c>
      <c r="W513" s="1" t="e">
        <f>TEXT(DetteFrs[Date Saisie],"yyyy")</f>
        <v>#VALUE!</v>
      </c>
    </row>
    <row r="514" spans="21:23" x14ac:dyDescent="0.25">
      <c r="U514" s="1" t="str">
        <f>IFERROR(MONTH(DetteFrs[Date Saisie]),"")</f>
        <v/>
      </c>
      <c r="W514" s="1" t="e">
        <f>TEXT(DetteFrs[Date Saisie],"yyyy")</f>
        <v>#VALUE!</v>
      </c>
    </row>
    <row r="515" spans="21:23" x14ac:dyDescent="0.25">
      <c r="U515" s="1" t="str">
        <f>IFERROR(MONTH(DetteFrs[Date Saisie]),"")</f>
        <v/>
      </c>
      <c r="W515" s="1" t="e">
        <f>TEXT(DetteFrs[Date Saisie],"yyyy")</f>
        <v>#VALUE!</v>
      </c>
    </row>
    <row r="516" spans="21:23" x14ac:dyDescent="0.25">
      <c r="U516" s="1" t="str">
        <f>IFERROR(MONTH(DetteFrs[Date Saisie]),"")</f>
        <v/>
      </c>
      <c r="W516" s="1" t="e">
        <f>TEXT(DetteFrs[Date Saisie],"yyyy")</f>
        <v>#VALUE!</v>
      </c>
    </row>
    <row r="517" spans="21:23" x14ac:dyDescent="0.25">
      <c r="U517" s="1" t="str">
        <f>IFERROR(MONTH(DetteFrs[Date Saisie]),"")</f>
        <v/>
      </c>
      <c r="W517" s="1" t="e">
        <f>TEXT(DetteFrs[Date Saisie],"yyyy")</f>
        <v>#VALUE!</v>
      </c>
    </row>
    <row r="518" spans="21:23" x14ac:dyDescent="0.25">
      <c r="U518" s="1" t="str">
        <f>IFERROR(MONTH(DetteFrs[Date Saisie]),"")</f>
        <v/>
      </c>
      <c r="W518" s="1" t="e">
        <f>TEXT(DetteFrs[Date Saisie],"yyyy")</f>
        <v>#VALUE!</v>
      </c>
    </row>
    <row r="519" spans="21:23" x14ac:dyDescent="0.25">
      <c r="U519" s="1" t="str">
        <f>IFERROR(MONTH(DetteFrs[Date Saisie]),"")</f>
        <v/>
      </c>
      <c r="W519" s="1" t="e">
        <f>TEXT(DetteFrs[Date Saisie],"yyyy")</f>
        <v>#VALUE!</v>
      </c>
    </row>
    <row r="520" spans="21:23" x14ac:dyDescent="0.25">
      <c r="U520" s="1" t="str">
        <f>IFERROR(MONTH(DetteFrs[Date Saisie]),"")</f>
        <v/>
      </c>
      <c r="W520" s="1" t="e">
        <f>TEXT(DetteFrs[Date Saisie],"yyyy")</f>
        <v>#VALUE!</v>
      </c>
    </row>
    <row r="521" spans="21:23" x14ac:dyDescent="0.25">
      <c r="U521" s="1" t="str">
        <f>IFERROR(MONTH(DetteFrs[Date Saisie]),"")</f>
        <v/>
      </c>
      <c r="W521" s="1" t="e">
        <f>TEXT(DetteFrs[Date Saisie],"yyyy")</f>
        <v>#VALUE!</v>
      </c>
    </row>
    <row r="522" spans="21:23" x14ac:dyDescent="0.25">
      <c r="U522" s="1" t="str">
        <f>IFERROR(MONTH(DetteFrs[Date Saisie]),"")</f>
        <v/>
      </c>
      <c r="W522" s="1" t="e">
        <f>TEXT(DetteFrs[Date Saisie],"yyyy")</f>
        <v>#VALUE!</v>
      </c>
    </row>
    <row r="523" spans="21:23" x14ac:dyDescent="0.25">
      <c r="U523" s="1" t="str">
        <f>IFERROR(MONTH(DetteFrs[Date Saisie]),"")</f>
        <v/>
      </c>
      <c r="W523" s="1" t="e">
        <f>TEXT(DetteFrs[Date Saisie],"yyyy")</f>
        <v>#VALUE!</v>
      </c>
    </row>
    <row r="524" spans="21:23" x14ac:dyDescent="0.25">
      <c r="U524" s="1" t="str">
        <f>IFERROR(MONTH(DetteFrs[Date Saisie]),"")</f>
        <v/>
      </c>
      <c r="W524" s="1" t="e">
        <f>TEXT(DetteFrs[Date Saisie],"yyyy")</f>
        <v>#VALUE!</v>
      </c>
    </row>
    <row r="525" spans="21:23" x14ac:dyDescent="0.25">
      <c r="U525" s="1" t="str">
        <f>IFERROR(MONTH(DetteFrs[Date Saisie]),"")</f>
        <v/>
      </c>
      <c r="W525" s="1" t="e">
        <f>TEXT(DetteFrs[Date Saisie],"yyyy")</f>
        <v>#VALUE!</v>
      </c>
    </row>
    <row r="526" spans="21:23" x14ac:dyDescent="0.25">
      <c r="U526" s="1" t="str">
        <f>IFERROR(MONTH(DetteFrs[Date Saisie]),"")</f>
        <v/>
      </c>
      <c r="W526" s="1" t="e">
        <f>TEXT(DetteFrs[Date Saisie],"yyyy")</f>
        <v>#VALUE!</v>
      </c>
    </row>
    <row r="527" spans="21:23" x14ac:dyDescent="0.25">
      <c r="U527" s="1" t="str">
        <f>IFERROR(MONTH(DetteFrs[Date Saisie]),"")</f>
        <v/>
      </c>
      <c r="W527" s="1" t="e">
        <f>TEXT(DetteFrs[Date Saisie],"yyyy")</f>
        <v>#VALUE!</v>
      </c>
    </row>
    <row r="528" spans="21:23" x14ac:dyDescent="0.25">
      <c r="U528" s="1" t="str">
        <f>IFERROR(MONTH(DetteFrs[Date Saisie]),"")</f>
        <v/>
      </c>
      <c r="W528" s="1" t="e">
        <f>TEXT(DetteFrs[Date Saisie],"yyyy")</f>
        <v>#VALUE!</v>
      </c>
    </row>
    <row r="529" spans="21:23" x14ac:dyDescent="0.25">
      <c r="U529" s="1" t="str">
        <f>IFERROR(MONTH(DetteFrs[Date Saisie]),"")</f>
        <v/>
      </c>
      <c r="W529" s="1" t="e">
        <f>TEXT(DetteFrs[Date Saisie],"yyyy")</f>
        <v>#VALUE!</v>
      </c>
    </row>
    <row r="530" spans="21:23" x14ac:dyDescent="0.25">
      <c r="U530" s="1" t="str">
        <f>IFERROR(MONTH(DetteFrs[Date Saisie]),"")</f>
        <v/>
      </c>
      <c r="W530" s="1" t="e">
        <f>TEXT(DetteFrs[Date Saisie],"yyyy")</f>
        <v>#VALUE!</v>
      </c>
    </row>
    <row r="531" spans="21:23" x14ac:dyDescent="0.25">
      <c r="U531" s="1" t="str">
        <f>IFERROR(MONTH(DetteFrs[Date Saisie]),"")</f>
        <v/>
      </c>
      <c r="W531" s="1" t="e">
        <f>TEXT(DetteFrs[Date Saisie],"yyyy")</f>
        <v>#VALUE!</v>
      </c>
    </row>
    <row r="532" spans="21:23" x14ac:dyDescent="0.25">
      <c r="U532" s="1" t="str">
        <f>IFERROR(MONTH(DetteFrs[Date Saisie]),"")</f>
        <v/>
      </c>
      <c r="W532" s="1" t="e">
        <f>TEXT(DetteFrs[Date Saisie],"yyyy")</f>
        <v>#VALUE!</v>
      </c>
    </row>
    <row r="533" spans="21:23" x14ac:dyDescent="0.25">
      <c r="U533" s="1" t="str">
        <f>IFERROR(MONTH(DetteFrs[Date Saisie]),"")</f>
        <v/>
      </c>
      <c r="W533" s="1" t="e">
        <f>TEXT(DetteFrs[Date Saisie],"yyyy")</f>
        <v>#VALUE!</v>
      </c>
    </row>
    <row r="534" spans="21:23" x14ac:dyDescent="0.25">
      <c r="U534" s="1" t="str">
        <f>IFERROR(MONTH(DetteFrs[Date Saisie]),"")</f>
        <v/>
      </c>
      <c r="W534" s="1" t="e">
        <f>TEXT(DetteFrs[Date Saisie],"yyyy")</f>
        <v>#VALUE!</v>
      </c>
    </row>
    <row r="535" spans="21:23" x14ac:dyDescent="0.25">
      <c r="U535" s="1" t="str">
        <f>IFERROR(MONTH(DetteFrs[Date Saisie]),"")</f>
        <v/>
      </c>
      <c r="W535" s="1" t="e">
        <f>TEXT(DetteFrs[Date Saisie],"yyyy")</f>
        <v>#VALUE!</v>
      </c>
    </row>
    <row r="536" spans="21:23" x14ac:dyDescent="0.25">
      <c r="U536" s="1" t="str">
        <f>IFERROR(MONTH(DetteFrs[Date Saisie]),"")</f>
        <v/>
      </c>
      <c r="W536" s="1" t="e">
        <f>TEXT(DetteFrs[Date Saisie],"yyyy")</f>
        <v>#VALUE!</v>
      </c>
    </row>
    <row r="537" spans="21:23" x14ac:dyDescent="0.25">
      <c r="U537" s="1" t="str">
        <f>IFERROR(MONTH(DetteFrs[Date Saisie]),"")</f>
        <v/>
      </c>
      <c r="W537" s="1" t="e">
        <f>TEXT(DetteFrs[Date Saisie],"yyyy")</f>
        <v>#VALUE!</v>
      </c>
    </row>
    <row r="538" spans="21:23" x14ac:dyDescent="0.25">
      <c r="U538" s="1" t="str">
        <f>IFERROR(MONTH(DetteFrs[Date Saisie]),"")</f>
        <v/>
      </c>
      <c r="W538" s="1" t="e">
        <f>TEXT(DetteFrs[Date Saisie],"yyyy")</f>
        <v>#VALUE!</v>
      </c>
    </row>
    <row r="539" spans="21:23" x14ac:dyDescent="0.25">
      <c r="U539" s="1" t="str">
        <f>IFERROR(MONTH(DetteFrs[Date Saisie]),"")</f>
        <v/>
      </c>
      <c r="W539" s="1" t="e">
        <f>TEXT(DetteFrs[Date Saisie],"yyyy")</f>
        <v>#VALUE!</v>
      </c>
    </row>
    <row r="540" spans="21:23" x14ac:dyDescent="0.25">
      <c r="U540" s="1" t="str">
        <f>IFERROR(MONTH(DetteFrs[Date Saisie]),"")</f>
        <v/>
      </c>
      <c r="W540" s="1" t="e">
        <f>TEXT(DetteFrs[Date Saisie],"yyyy")</f>
        <v>#VALUE!</v>
      </c>
    </row>
    <row r="541" spans="21:23" x14ac:dyDescent="0.25">
      <c r="U541" s="1" t="str">
        <f>IFERROR(MONTH(DetteFrs[Date Saisie]),"")</f>
        <v/>
      </c>
      <c r="W541" s="1" t="e">
        <f>TEXT(DetteFrs[Date Saisie],"yyyy")</f>
        <v>#VALUE!</v>
      </c>
    </row>
    <row r="542" spans="21:23" x14ac:dyDescent="0.25">
      <c r="U542" s="1" t="str">
        <f>IFERROR(MONTH(DetteFrs[Date Saisie]),"")</f>
        <v/>
      </c>
      <c r="W542" s="1" t="e">
        <f>TEXT(DetteFrs[Date Saisie],"yyyy")</f>
        <v>#VALUE!</v>
      </c>
    </row>
    <row r="543" spans="21:23" x14ac:dyDescent="0.25">
      <c r="U543" s="1" t="str">
        <f>IFERROR(MONTH(DetteFrs[Date Saisie]),"")</f>
        <v/>
      </c>
      <c r="W543" s="1" t="e">
        <f>TEXT(DetteFrs[Date Saisie],"yyyy")</f>
        <v>#VALUE!</v>
      </c>
    </row>
    <row r="544" spans="21:23" x14ac:dyDescent="0.25">
      <c r="U544" s="1" t="str">
        <f>IFERROR(MONTH(DetteFrs[Date Saisie]),"")</f>
        <v/>
      </c>
      <c r="W544" s="1" t="e">
        <f>TEXT(DetteFrs[Date Saisie],"yyyy")</f>
        <v>#VALUE!</v>
      </c>
    </row>
    <row r="545" spans="21:23" x14ac:dyDescent="0.25">
      <c r="U545" s="1" t="str">
        <f>IFERROR(MONTH(DetteFrs[Date Saisie]),"")</f>
        <v/>
      </c>
      <c r="W545" s="1" t="e">
        <f>TEXT(DetteFrs[Date Saisie],"yyyy")</f>
        <v>#VALUE!</v>
      </c>
    </row>
    <row r="546" spans="21:23" x14ac:dyDescent="0.25">
      <c r="U546" s="1" t="str">
        <f>IFERROR(MONTH(DetteFrs[Date Saisie]),"")</f>
        <v/>
      </c>
      <c r="W546" s="1" t="e">
        <f>TEXT(DetteFrs[Date Saisie],"yyyy")</f>
        <v>#VALUE!</v>
      </c>
    </row>
    <row r="547" spans="21:23" x14ac:dyDescent="0.25">
      <c r="U547" s="1" t="str">
        <f>IFERROR(MONTH(DetteFrs[Date Saisie]),"")</f>
        <v/>
      </c>
      <c r="W547" s="1" t="e">
        <f>TEXT(DetteFrs[Date Saisie],"yyyy")</f>
        <v>#VALUE!</v>
      </c>
    </row>
    <row r="548" spans="21:23" x14ac:dyDescent="0.25">
      <c r="U548" s="1" t="str">
        <f>IFERROR(MONTH(DetteFrs[Date Saisie]),"")</f>
        <v/>
      </c>
      <c r="W548" s="1" t="e">
        <f>TEXT(DetteFrs[Date Saisie],"yyyy")</f>
        <v>#VALUE!</v>
      </c>
    </row>
    <row r="549" spans="21:23" x14ac:dyDescent="0.25">
      <c r="U549" s="1" t="str">
        <f>IFERROR(MONTH(DetteFrs[Date Saisie]),"")</f>
        <v/>
      </c>
      <c r="W549" s="1" t="e">
        <f>TEXT(DetteFrs[Date Saisie],"yyyy")</f>
        <v>#VALUE!</v>
      </c>
    </row>
    <row r="550" spans="21:23" x14ac:dyDescent="0.25">
      <c r="U550" s="1" t="str">
        <f>IFERROR(MONTH(DetteFrs[Date Saisie]),"")</f>
        <v/>
      </c>
      <c r="W550" s="1" t="e">
        <f>TEXT(DetteFrs[Date Saisie],"yyyy")</f>
        <v>#VALUE!</v>
      </c>
    </row>
    <row r="551" spans="21:23" x14ac:dyDescent="0.25">
      <c r="U551" s="1" t="str">
        <f>IFERROR(MONTH(DetteFrs[Date Saisie]),"")</f>
        <v/>
      </c>
      <c r="W551" s="1" t="e">
        <f>TEXT(DetteFrs[Date Saisie],"yyyy")</f>
        <v>#VALUE!</v>
      </c>
    </row>
    <row r="552" spans="21:23" x14ac:dyDescent="0.25">
      <c r="U552" s="1" t="str">
        <f>IFERROR(MONTH(DetteFrs[Date Saisie]),"")</f>
        <v/>
      </c>
      <c r="W552" s="1" t="e">
        <f>TEXT(DetteFrs[Date Saisie],"yyyy")</f>
        <v>#VALUE!</v>
      </c>
    </row>
    <row r="553" spans="21:23" x14ac:dyDescent="0.25">
      <c r="U553" s="1" t="str">
        <f>IFERROR(MONTH(DetteFrs[Date Saisie]),"")</f>
        <v/>
      </c>
      <c r="W553" s="1" t="e">
        <f>TEXT(DetteFrs[Date Saisie],"yyyy")</f>
        <v>#VALUE!</v>
      </c>
    </row>
    <row r="554" spans="21:23" x14ac:dyDescent="0.25">
      <c r="U554" s="1" t="str">
        <f>IFERROR(MONTH(DetteFrs[Date Saisie]),"")</f>
        <v/>
      </c>
      <c r="W554" s="1" t="e">
        <f>TEXT(DetteFrs[Date Saisie],"yyyy")</f>
        <v>#VALUE!</v>
      </c>
    </row>
    <row r="555" spans="21:23" x14ac:dyDescent="0.25">
      <c r="U555" s="1" t="str">
        <f>IFERROR(MONTH(DetteFrs[Date Saisie]),"")</f>
        <v/>
      </c>
      <c r="W555" s="1" t="e">
        <f>TEXT(DetteFrs[Date Saisie],"yyyy")</f>
        <v>#VALUE!</v>
      </c>
    </row>
    <row r="556" spans="21:23" x14ac:dyDescent="0.25">
      <c r="U556" s="1" t="str">
        <f>IFERROR(MONTH(DetteFrs[Date Saisie]),"")</f>
        <v/>
      </c>
      <c r="W556" s="1" t="e">
        <f>TEXT(DetteFrs[Date Saisie],"yyyy")</f>
        <v>#VALUE!</v>
      </c>
    </row>
    <row r="557" spans="21:23" x14ac:dyDescent="0.25">
      <c r="U557" s="1" t="str">
        <f>IFERROR(MONTH(DetteFrs[Date Saisie]),"")</f>
        <v/>
      </c>
      <c r="W557" s="1" t="e">
        <f>TEXT(DetteFrs[Date Saisie],"yyyy")</f>
        <v>#VALUE!</v>
      </c>
    </row>
    <row r="558" spans="21:23" x14ac:dyDescent="0.25">
      <c r="U558" s="1" t="str">
        <f>IFERROR(MONTH(DetteFrs[Date Saisie]),"")</f>
        <v/>
      </c>
      <c r="W558" s="1" t="e">
        <f>TEXT(DetteFrs[Date Saisie],"yyyy")</f>
        <v>#VALUE!</v>
      </c>
    </row>
    <row r="559" spans="21:23" x14ac:dyDescent="0.25">
      <c r="U559" s="1" t="str">
        <f>IFERROR(MONTH(DetteFrs[Date Saisie]),"")</f>
        <v/>
      </c>
      <c r="W559" s="1" t="e">
        <f>TEXT(DetteFrs[Date Saisie],"yyyy")</f>
        <v>#VALUE!</v>
      </c>
    </row>
    <row r="560" spans="21:23" x14ac:dyDescent="0.25">
      <c r="U560" s="1" t="str">
        <f>IFERROR(MONTH(DetteFrs[Date Saisie]),"")</f>
        <v/>
      </c>
      <c r="W560" s="1" t="e">
        <f>TEXT(DetteFrs[Date Saisie],"yyyy")</f>
        <v>#VALUE!</v>
      </c>
    </row>
    <row r="561" spans="21:23" x14ac:dyDescent="0.25">
      <c r="U561" s="1" t="str">
        <f>IFERROR(MONTH(DetteFrs[Date Saisie]),"")</f>
        <v/>
      </c>
      <c r="W561" s="1" t="e">
        <f>TEXT(DetteFrs[Date Saisie],"yyyy")</f>
        <v>#VALUE!</v>
      </c>
    </row>
    <row r="562" spans="21:23" x14ac:dyDescent="0.25">
      <c r="U562" s="1" t="str">
        <f>IFERROR(MONTH(DetteFrs[Date Saisie]),"")</f>
        <v/>
      </c>
      <c r="W562" s="1" t="e">
        <f>TEXT(DetteFrs[Date Saisie],"yyyy")</f>
        <v>#VALUE!</v>
      </c>
    </row>
    <row r="563" spans="21:23" x14ac:dyDescent="0.25">
      <c r="U563" s="1" t="str">
        <f>IFERROR(MONTH(DetteFrs[Date Saisie]),"")</f>
        <v/>
      </c>
      <c r="W563" s="1" t="e">
        <f>TEXT(DetteFrs[Date Saisie],"yyyy")</f>
        <v>#VALUE!</v>
      </c>
    </row>
    <row r="564" spans="21:23" x14ac:dyDescent="0.25">
      <c r="U564" s="1" t="str">
        <f>IFERROR(MONTH(DetteFrs[Date Saisie]),"")</f>
        <v/>
      </c>
      <c r="W564" s="1" t="e">
        <f>TEXT(DetteFrs[Date Saisie],"yyyy")</f>
        <v>#VALUE!</v>
      </c>
    </row>
    <row r="565" spans="21:23" x14ac:dyDescent="0.25">
      <c r="U565" s="1" t="str">
        <f>IFERROR(MONTH(DetteFrs[Date Saisie]),"")</f>
        <v/>
      </c>
      <c r="W565" s="1" t="e">
        <f>TEXT(DetteFrs[Date Saisie],"yyyy")</f>
        <v>#VALUE!</v>
      </c>
    </row>
    <row r="566" spans="21:23" x14ac:dyDescent="0.25">
      <c r="U566" s="1" t="str">
        <f>IFERROR(MONTH(DetteFrs[Date Saisie]),"")</f>
        <v/>
      </c>
      <c r="W566" s="1" t="e">
        <f>TEXT(DetteFrs[Date Saisie],"yyyy")</f>
        <v>#VALUE!</v>
      </c>
    </row>
    <row r="567" spans="21:23" x14ac:dyDescent="0.25">
      <c r="U567" s="1" t="str">
        <f>IFERROR(MONTH(DetteFrs[Date Saisie]),"")</f>
        <v/>
      </c>
      <c r="W567" s="1" t="e">
        <f>TEXT(DetteFrs[Date Saisie],"yyyy")</f>
        <v>#VALUE!</v>
      </c>
    </row>
    <row r="568" spans="21:23" x14ac:dyDescent="0.25">
      <c r="U568" s="1" t="str">
        <f>IFERROR(MONTH(DetteFrs[Date Saisie]),"")</f>
        <v/>
      </c>
      <c r="W568" s="1" t="e">
        <f>TEXT(DetteFrs[Date Saisie],"yyyy")</f>
        <v>#VALUE!</v>
      </c>
    </row>
    <row r="569" spans="21:23" x14ac:dyDescent="0.25">
      <c r="U569" s="1" t="str">
        <f>IFERROR(MONTH(DetteFrs[Date Saisie]),"")</f>
        <v/>
      </c>
      <c r="W569" s="1" t="e">
        <f>TEXT(DetteFrs[Date Saisie],"yyyy")</f>
        <v>#VALUE!</v>
      </c>
    </row>
    <row r="570" spans="21:23" x14ac:dyDescent="0.25">
      <c r="U570" s="1" t="str">
        <f>IFERROR(MONTH(DetteFrs[Date Saisie]),"")</f>
        <v/>
      </c>
      <c r="W570" s="1" t="e">
        <f>TEXT(DetteFrs[Date Saisie],"yyyy")</f>
        <v>#VALUE!</v>
      </c>
    </row>
    <row r="571" spans="21:23" x14ac:dyDescent="0.25">
      <c r="U571" s="1" t="str">
        <f>IFERROR(MONTH(DetteFrs[Date Saisie]),"")</f>
        <v/>
      </c>
      <c r="W571" s="1" t="e">
        <f>TEXT(DetteFrs[Date Saisie],"yyyy")</f>
        <v>#VALUE!</v>
      </c>
    </row>
    <row r="572" spans="21:23" x14ac:dyDescent="0.25">
      <c r="U572" s="1" t="str">
        <f>IFERROR(MONTH(DetteFrs[Date Saisie]),"")</f>
        <v/>
      </c>
      <c r="W572" s="1" t="e">
        <f>TEXT(DetteFrs[Date Saisie],"yyyy")</f>
        <v>#VALUE!</v>
      </c>
    </row>
    <row r="573" spans="21:23" x14ac:dyDescent="0.25">
      <c r="U573" s="1" t="str">
        <f>IFERROR(MONTH(DetteFrs[Date Saisie]),"")</f>
        <v/>
      </c>
      <c r="W573" s="1" t="e">
        <f>TEXT(DetteFrs[Date Saisie],"yyyy")</f>
        <v>#VALUE!</v>
      </c>
    </row>
    <row r="574" spans="21:23" x14ac:dyDescent="0.25">
      <c r="U574" s="1" t="str">
        <f>IFERROR(MONTH(DetteFrs[Date Saisie]),"")</f>
        <v/>
      </c>
      <c r="W574" s="1" t="e">
        <f>TEXT(DetteFrs[Date Saisie],"yyyy")</f>
        <v>#VALUE!</v>
      </c>
    </row>
    <row r="575" spans="21:23" x14ac:dyDescent="0.25">
      <c r="U575" s="1" t="str">
        <f>IFERROR(MONTH(DetteFrs[Date Saisie]),"")</f>
        <v/>
      </c>
      <c r="W575" s="1" t="e">
        <f>TEXT(DetteFrs[Date Saisie],"yyyy")</f>
        <v>#VALUE!</v>
      </c>
    </row>
    <row r="576" spans="21:23" x14ac:dyDescent="0.25">
      <c r="U576" s="1" t="str">
        <f>IFERROR(MONTH(DetteFrs[Date Saisie]),"")</f>
        <v/>
      </c>
      <c r="W576" s="1" t="e">
        <f>TEXT(DetteFrs[Date Saisie],"yyyy")</f>
        <v>#VALUE!</v>
      </c>
    </row>
    <row r="577" spans="21:23" x14ac:dyDescent="0.25">
      <c r="U577" s="1" t="str">
        <f>IFERROR(MONTH(DetteFrs[Date Saisie]),"")</f>
        <v/>
      </c>
      <c r="W577" s="1" t="e">
        <f>TEXT(DetteFrs[Date Saisie],"yyyy")</f>
        <v>#VALUE!</v>
      </c>
    </row>
    <row r="578" spans="21:23" x14ac:dyDescent="0.25">
      <c r="U578" s="1" t="str">
        <f>IFERROR(MONTH(DetteFrs[Date Saisie]),"")</f>
        <v/>
      </c>
      <c r="W578" s="1" t="e">
        <f>TEXT(DetteFrs[Date Saisie],"yyyy")</f>
        <v>#VALUE!</v>
      </c>
    </row>
    <row r="579" spans="21:23" x14ac:dyDescent="0.25">
      <c r="U579" s="1" t="str">
        <f>IFERROR(MONTH(DetteFrs[Date Saisie]),"")</f>
        <v/>
      </c>
      <c r="W579" s="1" t="e">
        <f>TEXT(DetteFrs[Date Saisie],"yyyy")</f>
        <v>#VALUE!</v>
      </c>
    </row>
    <row r="580" spans="21:23" x14ac:dyDescent="0.25">
      <c r="U580" s="1" t="str">
        <f>IFERROR(MONTH(DetteFrs[Date Saisie]),"")</f>
        <v/>
      </c>
      <c r="W580" s="1" t="e">
        <f>TEXT(DetteFrs[Date Saisie],"yyyy")</f>
        <v>#VALUE!</v>
      </c>
    </row>
    <row r="581" spans="21:23" x14ac:dyDescent="0.25">
      <c r="U581" s="1" t="str">
        <f>IFERROR(MONTH(DetteFrs[Date Saisie]),"")</f>
        <v/>
      </c>
      <c r="W581" s="1" t="e">
        <f>TEXT(DetteFrs[Date Saisie],"yyyy")</f>
        <v>#VALUE!</v>
      </c>
    </row>
    <row r="582" spans="21:23" x14ac:dyDescent="0.25">
      <c r="U582" s="1" t="str">
        <f>IFERROR(MONTH(DetteFrs[Date Saisie]),"")</f>
        <v/>
      </c>
      <c r="W582" s="1" t="e">
        <f>TEXT(DetteFrs[Date Saisie],"yyyy")</f>
        <v>#VALUE!</v>
      </c>
    </row>
    <row r="583" spans="21:23" x14ac:dyDescent="0.25">
      <c r="U583" s="1" t="str">
        <f>IFERROR(MONTH(DetteFrs[Date Saisie]),"")</f>
        <v/>
      </c>
      <c r="W583" s="1" t="e">
        <f>TEXT(DetteFrs[Date Saisie],"yyyy")</f>
        <v>#VALUE!</v>
      </c>
    </row>
    <row r="584" spans="21:23" x14ac:dyDescent="0.25">
      <c r="U584" s="1" t="str">
        <f>IFERROR(MONTH(DetteFrs[Date Saisie]),"")</f>
        <v/>
      </c>
      <c r="W584" s="1" t="e">
        <f>TEXT(DetteFrs[Date Saisie],"yyyy")</f>
        <v>#VALUE!</v>
      </c>
    </row>
    <row r="585" spans="21:23" x14ac:dyDescent="0.25">
      <c r="U585" s="1" t="str">
        <f>IFERROR(MONTH(DetteFrs[Date Saisie]),"")</f>
        <v/>
      </c>
      <c r="W585" s="1" t="e">
        <f>TEXT(DetteFrs[Date Saisie],"yyyy")</f>
        <v>#VALUE!</v>
      </c>
    </row>
    <row r="586" spans="21:23" x14ac:dyDescent="0.25">
      <c r="U586" s="1" t="str">
        <f>IFERROR(MONTH(DetteFrs[Date Saisie]),"")</f>
        <v/>
      </c>
      <c r="W586" s="1" t="e">
        <f>TEXT(DetteFrs[Date Saisie],"yyyy")</f>
        <v>#VALUE!</v>
      </c>
    </row>
    <row r="587" spans="21:23" x14ac:dyDescent="0.25">
      <c r="U587" s="1" t="str">
        <f>IFERROR(MONTH(DetteFrs[Date Saisie]),"")</f>
        <v/>
      </c>
      <c r="W587" s="1" t="e">
        <f>TEXT(DetteFrs[Date Saisie],"yyyy")</f>
        <v>#VALUE!</v>
      </c>
    </row>
    <row r="588" spans="21:23" x14ac:dyDescent="0.25">
      <c r="U588" s="1" t="str">
        <f>IFERROR(MONTH(DetteFrs[Date Saisie]),"")</f>
        <v/>
      </c>
      <c r="W588" s="1" t="e">
        <f>TEXT(DetteFrs[Date Saisie],"yyyy")</f>
        <v>#VALUE!</v>
      </c>
    </row>
    <row r="589" spans="21:23" x14ac:dyDescent="0.25">
      <c r="U589" s="1" t="str">
        <f>IFERROR(MONTH(DetteFrs[Date Saisie]),"")</f>
        <v/>
      </c>
      <c r="W589" s="1" t="e">
        <f>TEXT(DetteFrs[Date Saisie],"yyyy")</f>
        <v>#VALUE!</v>
      </c>
    </row>
    <row r="590" spans="21:23" x14ac:dyDescent="0.25">
      <c r="U590" s="1" t="str">
        <f>IFERROR(MONTH(DetteFrs[Date Saisie]),"")</f>
        <v/>
      </c>
      <c r="W590" s="1" t="e">
        <f>TEXT(DetteFrs[Date Saisie],"yyyy")</f>
        <v>#VALUE!</v>
      </c>
    </row>
    <row r="591" spans="21:23" x14ac:dyDescent="0.25">
      <c r="U591" s="1" t="str">
        <f>IFERROR(MONTH(DetteFrs[Date Saisie]),"")</f>
        <v/>
      </c>
      <c r="W591" s="1" t="e">
        <f>TEXT(DetteFrs[Date Saisie],"yyyy")</f>
        <v>#VALUE!</v>
      </c>
    </row>
    <row r="592" spans="21:23" x14ac:dyDescent="0.25">
      <c r="U592" s="1" t="str">
        <f>IFERROR(MONTH(DetteFrs[Date Saisie]),"")</f>
        <v/>
      </c>
      <c r="W592" s="1" t="e">
        <f>TEXT(DetteFrs[Date Saisie],"yyyy")</f>
        <v>#VALUE!</v>
      </c>
    </row>
    <row r="593" spans="21:23" x14ac:dyDescent="0.25">
      <c r="U593" s="1" t="str">
        <f>IFERROR(MONTH(DetteFrs[Date Saisie]),"")</f>
        <v/>
      </c>
      <c r="W593" s="1" t="e">
        <f>TEXT(DetteFrs[Date Saisie],"yyyy")</f>
        <v>#VALUE!</v>
      </c>
    </row>
    <row r="594" spans="21:23" x14ac:dyDescent="0.25">
      <c r="U594" s="1" t="str">
        <f>IFERROR(MONTH(DetteFrs[Date Saisie]),"")</f>
        <v/>
      </c>
      <c r="W594" s="1" t="e">
        <f>TEXT(DetteFrs[Date Saisie],"yyyy")</f>
        <v>#VALUE!</v>
      </c>
    </row>
    <row r="595" spans="21:23" x14ac:dyDescent="0.25">
      <c r="U595" s="1" t="str">
        <f>IFERROR(MONTH(DetteFrs[Date Saisie]),"")</f>
        <v/>
      </c>
      <c r="W595" s="1" t="e">
        <f>TEXT(DetteFrs[Date Saisie],"yyyy")</f>
        <v>#VALUE!</v>
      </c>
    </row>
    <row r="596" spans="21:23" x14ac:dyDescent="0.25">
      <c r="U596" s="1" t="str">
        <f>IFERROR(MONTH(DetteFrs[Date Saisie]),"")</f>
        <v/>
      </c>
      <c r="W596" s="1" t="e">
        <f>TEXT(DetteFrs[Date Saisie],"yyyy")</f>
        <v>#VALUE!</v>
      </c>
    </row>
    <row r="597" spans="21:23" x14ac:dyDescent="0.25">
      <c r="U597" s="1" t="str">
        <f>IFERROR(MONTH(DetteFrs[Date Saisie]),"")</f>
        <v/>
      </c>
      <c r="W597" s="1" t="e">
        <f>TEXT(DetteFrs[Date Saisie],"yyyy")</f>
        <v>#VALUE!</v>
      </c>
    </row>
    <row r="598" spans="21:23" x14ac:dyDescent="0.25">
      <c r="U598" s="1" t="str">
        <f>IFERROR(MONTH(DetteFrs[Date Saisie]),"")</f>
        <v/>
      </c>
      <c r="W598" s="1" t="e">
        <f>TEXT(DetteFrs[Date Saisie],"yyyy")</f>
        <v>#VALUE!</v>
      </c>
    </row>
    <row r="599" spans="21:23" x14ac:dyDescent="0.25">
      <c r="U599" s="1" t="str">
        <f>IFERROR(MONTH(DetteFrs[Date Saisie]),"")</f>
        <v/>
      </c>
      <c r="W599" s="1" t="e">
        <f>TEXT(DetteFrs[Date Saisie],"yyyy")</f>
        <v>#VALUE!</v>
      </c>
    </row>
    <row r="600" spans="21:23" x14ac:dyDescent="0.25">
      <c r="U600" s="1" t="str">
        <f>IFERROR(MONTH(DetteFrs[Date Saisie]),"")</f>
        <v/>
      </c>
      <c r="W600" s="1" t="e">
        <f>TEXT(DetteFrs[Date Saisie],"yyyy")</f>
        <v>#VALUE!</v>
      </c>
    </row>
    <row r="601" spans="21:23" x14ac:dyDescent="0.25">
      <c r="U601" s="1" t="str">
        <f>IFERROR(MONTH(DetteFrs[Date Saisie]),"")</f>
        <v/>
      </c>
      <c r="W601" s="1" t="e">
        <f>TEXT(DetteFrs[Date Saisie],"yyyy")</f>
        <v>#VALUE!</v>
      </c>
    </row>
    <row r="602" spans="21:23" x14ac:dyDescent="0.25">
      <c r="U602" s="1" t="str">
        <f>IFERROR(MONTH(DetteFrs[Date Saisie]),"")</f>
        <v/>
      </c>
      <c r="W602" s="1" t="e">
        <f>TEXT(DetteFrs[Date Saisie],"yyyy")</f>
        <v>#VALUE!</v>
      </c>
    </row>
    <row r="603" spans="21:23" x14ac:dyDescent="0.25">
      <c r="U603" s="1" t="str">
        <f>IFERROR(MONTH(DetteFrs[Date Saisie]),"")</f>
        <v/>
      </c>
      <c r="W603" s="1" t="e">
        <f>TEXT(DetteFrs[Date Saisie],"yyyy")</f>
        <v>#VALUE!</v>
      </c>
    </row>
    <row r="604" spans="21:23" x14ac:dyDescent="0.25">
      <c r="U604" s="1" t="str">
        <f>IFERROR(MONTH(DetteFrs[Date Saisie]),"")</f>
        <v/>
      </c>
      <c r="W604" s="1" t="e">
        <f>TEXT(DetteFrs[Date Saisie],"yyyy")</f>
        <v>#VALUE!</v>
      </c>
    </row>
    <row r="605" spans="21:23" x14ac:dyDescent="0.25">
      <c r="U605" s="1" t="str">
        <f>IFERROR(MONTH(DetteFrs[Date Saisie]),"")</f>
        <v/>
      </c>
      <c r="W605" s="1" t="e">
        <f>TEXT(DetteFrs[Date Saisie],"yyyy")</f>
        <v>#VALUE!</v>
      </c>
    </row>
    <row r="606" spans="21:23" x14ac:dyDescent="0.25">
      <c r="U606" s="1" t="str">
        <f>IFERROR(MONTH(DetteFrs[Date Saisie]),"")</f>
        <v/>
      </c>
      <c r="W606" s="1" t="e">
        <f>TEXT(DetteFrs[Date Saisie],"yyyy")</f>
        <v>#VALUE!</v>
      </c>
    </row>
    <row r="607" spans="21:23" x14ac:dyDescent="0.25">
      <c r="U607" s="1" t="str">
        <f>IFERROR(MONTH(DetteFrs[Date Saisie]),"")</f>
        <v/>
      </c>
      <c r="W607" s="1" t="e">
        <f>TEXT(DetteFrs[Date Saisie],"yyyy")</f>
        <v>#VALUE!</v>
      </c>
    </row>
    <row r="608" spans="21:23" x14ac:dyDescent="0.25">
      <c r="U608" s="1" t="str">
        <f>IFERROR(MONTH(DetteFrs[Date Saisie]),"")</f>
        <v/>
      </c>
      <c r="W608" s="1" t="e">
        <f>TEXT(DetteFrs[Date Saisie],"yyyy")</f>
        <v>#VALUE!</v>
      </c>
    </row>
    <row r="609" spans="21:23" x14ac:dyDescent="0.25">
      <c r="U609" s="1" t="str">
        <f>IFERROR(MONTH(DetteFrs[Date Saisie]),"")</f>
        <v/>
      </c>
      <c r="W609" s="1" t="e">
        <f>TEXT(DetteFrs[Date Saisie],"yyyy")</f>
        <v>#VALUE!</v>
      </c>
    </row>
    <row r="610" spans="21:23" x14ac:dyDescent="0.25">
      <c r="U610" s="1" t="str">
        <f>IFERROR(MONTH(DetteFrs[Date Saisie]),"")</f>
        <v/>
      </c>
      <c r="W610" s="1" t="e">
        <f>TEXT(DetteFrs[Date Saisie],"yyyy")</f>
        <v>#VALUE!</v>
      </c>
    </row>
    <row r="611" spans="21:23" x14ac:dyDescent="0.25">
      <c r="U611" s="1" t="str">
        <f>IFERROR(MONTH(DetteFrs[Date Saisie]),"")</f>
        <v/>
      </c>
      <c r="W611" s="1" t="e">
        <f>TEXT(DetteFrs[Date Saisie],"yyyy")</f>
        <v>#VALUE!</v>
      </c>
    </row>
    <row r="612" spans="21:23" x14ac:dyDescent="0.25">
      <c r="U612" s="1" t="str">
        <f>IFERROR(MONTH(DetteFrs[Date Saisie]),"")</f>
        <v/>
      </c>
      <c r="W612" s="1" t="e">
        <f>TEXT(DetteFrs[Date Saisie],"yyyy")</f>
        <v>#VALUE!</v>
      </c>
    </row>
    <row r="613" spans="21:23" x14ac:dyDescent="0.25">
      <c r="U613" s="1" t="str">
        <f>IFERROR(MONTH(DetteFrs[Date Saisie]),"")</f>
        <v/>
      </c>
      <c r="W613" s="1" t="e">
        <f>TEXT(DetteFrs[Date Saisie],"yyyy")</f>
        <v>#VALUE!</v>
      </c>
    </row>
    <row r="614" spans="21:23" x14ac:dyDescent="0.25">
      <c r="U614" s="1" t="str">
        <f>IFERROR(MONTH(DetteFrs[Date Saisie]),"")</f>
        <v/>
      </c>
      <c r="W614" s="1" t="e">
        <f>TEXT(DetteFrs[Date Saisie],"yyyy")</f>
        <v>#VALUE!</v>
      </c>
    </row>
    <row r="615" spans="21:23" x14ac:dyDescent="0.25">
      <c r="U615" s="1" t="str">
        <f>IFERROR(MONTH(DetteFrs[Date Saisie]),"")</f>
        <v/>
      </c>
      <c r="W615" s="1" t="e">
        <f>TEXT(DetteFrs[Date Saisie],"yyyy")</f>
        <v>#VALUE!</v>
      </c>
    </row>
    <row r="616" spans="21:23" x14ac:dyDescent="0.25">
      <c r="U616" s="1" t="str">
        <f>IFERROR(MONTH(DetteFrs[Date Saisie]),"")</f>
        <v/>
      </c>
      <c r="W616" s="1" t="e">
        <f>TEXT(DetteFrs[Date Saisie],"yyyy")</f>
        <v>#VALUE!</v>
      </c>
    </row>
    <row r="617" spans="21:23" x14ac:dyDescent="0.25">
      <c r="U617" s="1" t="str">
        <f>IFERROR(MONTH(DetteFrs[Date Saisie]),"")</f>
        <v/>
      </c>
      <c r="W617" s="1" t="e">
        <f>TEXT(DetteFrs[Date Saisie],"yyyy")</f>
        <v>#VALUE!</v>
      </c>
    </row>
    <row r="618" spans="21:23" x14ac:dyDescent="0.25">
      <c r="U618" s="1" t="str">
        <f>IFERROR(MONTH(DetteFrs[Date Saisie]),"")</f>
        <v/>
      </c>
      <c r="W618" s="1" t="e">
        <f>TEXT(DetteFrs[Date Saisie],"yyyy")</f>
        <v>#VALUE!</v>
      </c>
    </row>
    <row r="619" spans="21:23" x14ac:dyDescent="0.25">
      <c r="U619" s="1" t="str">
        <f>IFERROR(MONTH(DetteFrs[Date Saisie]),"")</f>
        <v/>
      </c>
      <c r="W619" s="1" t="e">
        <f>TEXT(DetteFrs[Date Saisie],"yyyy")</f>
        <v>#VALUE!</v>
      </c>
    </row>
    <row r="620" spans="21:23" x14ac:dyDescent="0.25">
      <c r="U620" s="1" t="str">
        <f>IFERROR(MONTH(DetteFrs[Date Saisie]),"")</f>
        <v/>
      </c>
      <c r="W620" s="1" t="e">
        <f>TEXT(DetteFrs[Date Saisie],"yyyy")</f>
        <v>#VALUE!</v>
      </c>
    </row>
    <row r="621" spans="21:23" x14ac:dyDescent="0.25">
      <c r="U621" s="1" t="str">
        <f>IFERROR(MONTH(DetteFrs[Date Saisie]),"")</f>
        <v/>
      </c>
      <c r="W621" s="1" t="e">
        <f>TEXT(DetteFrs[Date Saisie],"yyyy")</f>
        <v>#VALUE!</v>
      </c>
    </row>
    <row r="622" spans="21:23" x14ac:dyDescent="0.25">
      <c r="U622" s="1" t="str">
        <f>IFERROR(MONTH(DetteFrs[Date Saisie]),"")</f>
        <v/>
      </c>
      <c r="W622" s="1" t="e">
        <f>TEXT(DetteFrs[Date Saisie],"yyyy")</f>
        <v>#VALUE!</v>
      </c>
    </row>
    <row r="623" spans="21:23" x14ac:dyDescent="0.25">
      <c r="U623" s="1" t="str">
        <f>IFERROR(MONTH(DetteFrs[Date Saisie]),"")</f>
        <v/>
      </c>
      <c r="W623" s="1" t="e">
        <f>TEXT(DetteFrs[Date Saisie],"yyyy")</f>
        <v>#VALUE!</v>
      </c>
    </row>
    <row r="624" spans="21:23" x14ac:dyDescent="0.25">
      <c r="U624" s="1" t="str">
        <f>IFERROR(MONTH(DetteFrs[Date Saisie]),"")</f>
        <v/>
      </c>
      <c r="W624" s="1" t="e">
        <f>TEXT(DetteFrs[Date Saisie],"yyyy")</f>
        <v>#VALUE!</v>
      </c>
    </row>
    <row r="625" spans="21:23" x14ac:dyDescent="0.25">
      <c r="U625" s="1" t="str">
        <f>IFERROR(MONTH(DetteFrs[Date Saisie]),"")</f>
        <v/>
      </c>
      <c r="W625" s="1" t="e">
        <f>TEXT(DetteFrs[Date Saisie],"yyyy")</f>
        <v>#VALUE!</v>
      </c>
    </row>
    <row r="626" spans="21:23" x14ac:dyDescent="0.25">
      <c r="U626" s="1" t="str">
        <f>IFERROR(MONTH(DetteFrs[Date Saisie]),"")</f>
        <v/>
      </c>
      <c r="W626" s="1" t="e">
        <f>TEXT(DetteFrs[Date Saisie],"yyyy")</f>
        <v>#VALUE!</v>
      </c>
    </row>
    <row r="627" spans="21:23" x14ac:dyDescent="0.25">
      <c r="U627" s="1" t="str">
        <f>IFERROR(MONTH(DetteFrs[Date Saisie]),"")</f>
        <v/>
      </c>
      <c r="W627" s="1" t="e">
        <f>TEXT(DetteFrs[Date Saisie],"yyyy")</f>
        <v>#VALUE!</v>
      </c>
    </row>
    <row r="628" spans="21:23" x14ac:dyDescent="0.25">
      <c r="U628" s="1" t="str">
        <f>IFERROR(MONTH(DetteFrs[Date Saisie]),"")</f>
        <v/>
      </c>
      <c r="W628" s="1" t="e">
        <f>TEXT(DetteFrs[Date Saisie],"yyyy")</f>
        <v>#VALUE!</v>
      </c>
    </row>
    <row r="629" spans="21:23" x14ac:dyDescent="0.25">
      <c r="U629" s="1" t="str">
        <f>IFERROR(MONTH(DetteFrs[Date Saisie]),"")</f>
        <v/>
      </c>
      <c r="W629" s="1" t="e">
        <f>TEXT(DetteFrs[Date Saisie],"yyyy")</f>
        <v>#VALUE!</v>
      </c>
    </row>
    <row r="630" spans="21:23" x14ac:dyDescent="0.25">
      <c r="U630" s="1" t="str">
        <f>IFERROR(MONTH(DetteFrs[Date Saisie]),"")</f>
        <v/>
      </c>
      <c r="W630" s="1" t="e">
        <f>TEXT(DetteFrs[Date Saisie],"yyyy")</f>
        <v>#VALUE!</v>
      </c>
    </row>
    <row r="631" spans="21:23" x14ac:dyDescent="0.25">
      <c r="U631" s="1" t="str">
        <f>IFERROR(MONTH(DetteFrs[Date Saisie]),"")</f>
        <v/>
      </c>
      <c r="W631" s="1" t="e">
        <f>TEXT(DetteFrs[Date Saisie],"yyyy")</f>
        <v>#VALUE!</v>
      </c>
    </row>
    <row r="632" spans="21:23" x14ac:dyDescent="0.25">
      <c r="U632" s="1" t="str">
        <f>IFERROR(MONTH(DetteFrs[Date Saisie]),"")</f>
        <v/>
      </c>
      <c r="W632" s="1" t="e">
        <f>TEXT(DetteFrs[Date Saisie],"yyyy")</f>
        <v>#VALUE!</v>
      </c>
    </row>
    <row r="633" spans="21:23" x14ac:dyDescent="0.25">
      <c r="U633" s="1" t="str">
        <f>IFERROR(MONTH(DetteFrs[Date Saisie]),"")</f>
        <v/>
      </c>
      <c r="W633" s="1" t="e">
        <f>TEXT(DetteFrs[Date Saisie],"yyyy")</f>
        <v>#VALUE!</v>
      </c>
    </row>
    <row r="634" spans="21:23" x14ac:dyDescent="0.25">
      <c r="U634" s="1" t="str">
        <f>IFERROR(MONTH(DetteFrs[Date Saisie]),"")</f>
        <v/>
      </c>
      <c r="W634" s="1" t="e">
        <f>TEXT(DetteFrs[Date Saisie],"yyyy")</f>
        <v>#VALUE!</v>
      </c>
    </row>
    <row r="635" spans="21:23" x14ac:dyDescent="0.25">
      <c r="U635" s="1" t="str">
        <f>IFERROR(MONTH(DetteFrs[Date Saisie]),"")</f>
        <v/>
      </c>
      <c r="W635" s="1" t="e">
        <f>TEXT(DetteFrs[Date Saisie],"yyyy")</f>
        <v>#VALUE!</v>
      </c>
    </row>
    <row r="636" spans="21:23" x14ac:dyDescent="0.25">
      <c r="U636" s="1" t="str">
        <f>IFERROR(MONTH(DetteFrs[Date Saisie]),"")</f>
        <v/>
      </c>
      <c r="W636" s="1" t="e">
        <f>TEXT(DetteFrs[Date Saisie],"yyyy")</f>
        <v>#VALUE!</v>
      </c>
    </row>
    <row r="637" spans="21:23" x14ac:dyDescent="0.25">
      <c r="U637" s="1" t="str">
        <f>IFERROR(MONTH(DetteFrs[Date Saisie]),"")</f>
        <v/>
      </c>
      <c r="W637" s="1" t="e">
        <f>TEXT(DetteFrs[Date Saisie],"yyyy")</f>
        <v>#VALUE!</v>
      </c>
    </row>
    <row r="638" spans="21:23" x14ac:dyDescent="0.25">
      <c r="U638" s="1" t="str">
        <f>IFERROR(MONTH(DetteFrs[Date Saisie]),"")</f>
        <v/>
      </c>
      <c r="W638" s="1" t="e">
        <f>TEXT(DetteFrs[Date Saisie],"yyyy")</f>
        <v>#VALUE!</v>
      </c>
    </row>
    <row r="639" spans="21:23" x14ac:dyDescent="0.25">
      <c r="U639" s="1" t="str">
        <f>IFERROR(MONTH(DetteFrs[Date Saisie]),"")</f>
        <v/>
      </c>
      <c r="W639" s="1" t="e">
        <f>TEXT(DetteFrs[Date Saisie],"yyyy")</f>
        <v>#VALUE!</v>
      </c>
    </row>
    <row r="640" spans="21:23" x14ac:dyDescent="0.25">
      <c r="U640" s="1" t="str">
        <f>IFERROR(MONTH(DetteFrs[Date Saisie]),"")</f>
        <v/>
      </c>
      <c r="W640" s="1" t="e">
        <f>TEXT(DetteFrs[Date Saisie],"yyyy")</f>
        <v>#VALUE!</v>
      </c>
    </row>
    <row r="641" spans="21:23" x14ac:dyDescent="0.25">
      <c r="U641" s="1" t="str">
        <f>IFERROR(MONTH(DetteFrs[Date Saisie]),"")</f>
        <v/>
      </c>
      <c r="W641" s="1" t="e">
        <f>TEXT(DetteFrs[Date Saisie],"yyyy")</f>
        <v>#VALUE!</v>
      </c>
    </row>
    <row r="642" spans="21:23" x14ac:dyDescent="0.25">
      <c r="U642" s="1" t="str">
        <f>IFERROR(MONTH(DetteFrs[Date Saisie]),"")</f>
        <v/>
      </c>
      <c r="W642" s="1" t="e">
        <f>TEXT(DetteFrs[Date Saisie],"yyyy")</f>
        <v>#VALUE!</v>
      </c>
    </row>
    <row r="643" spans="21:23" x14ac:dyDescent="0.25">
      <c r="U643" s="1" t="str">
        <f>IFERROR(MONTH(DetteFrs[Date Saisie]),"")</f>
        <v/>
      </c>
      <c r="W643" s="1" t="e">
        <f>TEXT(DetteFrs[Date Saisie],"yyyy")</f>
        <v>#VALUE!</v>
      </c>
    </row>
    <row r="644" spans="21:23" x14ac:dyDescent="0.25">
      <c r="U644" s="1" t="str">
        <f>IFERROR(MONTH(DetteFrs[Date Saisie]),"")</f>
        <v/>
      </c>
      <c r="W644" s="1" t="e">
        <f>TEXT(DetteFrs[Date Saisie],"yyyy")</f>
        <v>#VALUE!</v>
      </c>
    </row>
    <row r="645" spans="21:23" x14ac:dyDescent="0.25">
      <c r="U645" s="1" t="str">
        <f>IFERROR(MONTH(DetteFrs[Date Saisie]),"")</f>
        <v/>
      </c>
      <c r="W645" s="1" t="e">
        <f>TEXT(DetteFrs[Date Saisie],"yyyy")</f>
        <v>#VALUE!</v>
      </c>
    </row>
    <row r="646" spans="21:23" x14ac:dyDescent="0.25">
      <c r="U646" s="1" t="str">
        <f>IFERROR(MONTH(DetteFrs[Date Saisie]),"")</f>
        <v/>
      </c>
      <c r="W646" s="1" t="e">
        <f>TEXT(DetteFrs[Date Saisie],"yyyy")</f>
        <v>#VALUE!</v>
      </c>
    </row>
    <row r="647" spans="21:23" x14ac:dyDescent="0.25">
      <c r="U647" s="1" t="str">
        <f>IFERROR(MONTH(DetteFrs[Date Saisie]),"")</f>
        <v/>
      </c>
      <c r="W647" s="1" t="e">
        <f>TEXT(DetteFrs[Date Saisie],"yyyy")</f>
        <v>#VALUE!</v>
      </c>
    </row>
    <row r="648" spans="21:23" x14ac:dyDescent="0.25">
      <c r="U648" s="1" t="str">
        <f>IFERROR(MONTH(DetteFrs[Date Saisie]),"")</f>
        <v/>
      </c>
      <c r="W648" s="1" t="e">
        <f>TEXT(DetteFrs[Date Saisie],"yyyy")</f>
        <v>#VALUE!</v>
      </c>
    </row>
    <row r="649" spans="21:23" x14ac:dyDescent="0.25">
      <c r="U649" s="1" t="str">
        <f>IFERROR(MONTH(DetteFrs[Date Saisie]),"")</f>
        <v/>
      </c>
      <c r="W649" s="1" t="e">
        <f>TEXT(DetteFrs[Date Saisie],"yyyy")</f>
        <v>#VALUE!</v>
      </c>
    </row>
    <row r="650" spans="21:23" x14ac:dyDescent="0.25">
      <c r="U650" s="1" t="str">
        <f>IFERROR(MONTH(DetteFrs[Date Saisie]),"")</f>
        <v/>
      </c>
      <c r="W650" s="1" t="e">
        <f>TEXT(DetteFrs[Date Saisie],"yyyy")</f>
        <v>#VALUE!</v>
      </c>
    </row>
    <row r="651" spans="21:23" x14ac:dyDescent="0.25">
      <c r="U651" s="1" t="str">
        <f>IFERROR(MONTH(DetteFrs[Date Saisie]),"")</f>
        <v/>
      </c>
      <c r="W651" s="1" t="e">
        <f>TEXT(DetteFrs[Date Saisie],"yyyy")</f>
        <v>#VALUE!</v>
      </c>
    </row>
    <row r="652" spans="21:23" x14ac:dyDescent="0.25">
      <c r="U652" s="1" t="str">
        <f>IFERROR(MONTH(DetteFrs[Date Saisie]),"")</f>
        <v/>
      </c>
      <c r="W652" s="1" t="e">
        <f>TEXT(DetteFrs[Date Saisie],"yyyy")</f>
        <v>#VALUE!</v>
      </c>
    </row>
    <row r="653" spans="21:23" x14ac:dyDescent="0.25">
      <c r="U653" s="1" t="str">
        <f>IFERROR(MONTH(DetteFrs[Date Saisie]),"")</f>
        <v/>
      </c>
      <c r="W653" s="1" t="e">
        <f>TEXT(DetteFrs[Date Saisie],"yyyy")</f>
        <v>#VALUE!</v>
      </c>
    </row>
    <row r="654" spans="21:23" x14ac:dyDescent="0.25">
      <c r="U654" s="1" t="str">
        <f>IFERROR(MONTH(DetteFrs[Date Saisie]),"")</f>
        <v/>
      </c>
      <c r="W654" s="1" t="e">
        <f>TEXT(DetteFrs[Date Saisie],"yyyy")</f>
        <v>#VALUE!</v>
      </c>
    </row>
    <row r="655" spans="21:23" x14ac:dyDescent="0.25">
      <c r="U655" s="1" t="str">
        <f>IFERROR(MONTH(DetteFrs[Date Saisie]),"")</f>
        <v/>
      </c>
      <c r="W655" s="1" t="e">
        <f>TEXT(DetteFrs[Date Saisie],"yyyy")</f>
        <v>#VALUE!</v>
      </c>
    </row>
    <row r="656" spans="21:23" x14ac:dyDescent="0.25">
      <c r="U656" s="1" t="str">
        <f>IFERROR(MONTH(DetteFrs[Date Saisie]),"")</f>
        <v/>
      </c>
      <c r="W656" s="1" t="e">
        <f>TEXT(DetteFrs[Date Saisie],"yyyy")</f>
        <v>#VALUE!</v>
      </c>
    </row>
    <row r="657" spans="21:23" x14ac:dyDescent="0.25">
      <c r="U657" s="1" t="str">
        <f>IFERROR(MONTH(DetteFrs[Date Saisie]),"")</f>
        <v/>
      </c>
      <c r="W657" s="1" t="e">
        <f>TEXT(DetteFrs[Date Saisie],"yyyy")</f>
        <v>#VALUE!</v>
      </c>
    </row>
    <row r="658" spans="21:23" x14ac:dyDescent="0.25">
      <c r="U658" s="1" t="str">
        <f>IFERROR(MONTH(DetteFrs[Date Saisie]),"")</f>
        <v/>
      </c>
      <c r="W658" s="1" t="e">
        <f>TEXT(DetteFrs[Date Saisie],"yyyy")</f>
        <v>#VALUE!</v>
      </c>
    </row>
    <row r="659" spans="21:23" x14ac:dyDescent="0.25">
      <c r="U659" s="1" t="str">
        <f>IFERROR(MONTH(DetteFrs[Date Saisie]),"")</f>
        <v/>
      </c>
      <c r="W659" s="1" t="e">
        <f>TEXT(DetteFrs[Date Saisie],"yyyy")</f>
        <v>#VALUE!</v>
      </c>
    </row>
    <row r="660" spans="21:23" x14ac:dyDescent="0.25">
      <c r="U660" s="1" t="str">
        <f>IFERROR(MONTH(DetteFrs[Date Saisie]),"")</f>
        <v/>
      </c>
      <c r="W660" s="1" t="e">
        <f>TEXT(DetteFrs[Date Saisie],"yyyy")</f>
        <v>#VALUE!</v>
      </c>
    </row>
    <row r="661" spans="21:23" x14ac:dyDescent="0.25">
      <c r="U661" s="1" t="str">
        <f>IFERROR(MONTH(DetteFrs[Date Saisie]),"")</f>
        <v/>
      </c>
      <c r="W661" s="1" t="e">
        <f>TEXT(DetteFrs[Date Saisie],"yyyy")</f>
        <v>#VALUE!</v>
      </c>
    </row>
    <row r="662" spans="21:23" x14ac:dyDescent="0.25">
      <c r="U662" s="1" t="str">
        <f>IFERROR(MONTH(DetteFrs[Date Saisie]),"")</f>
        <v/>
      </c>
      <c r="W662" s="1" t="e">
        <f>TEXT(DetteFrs[Date Saisie],"yyyy")</f>
        <v>#VALUE!</v>
      </c>
    </row>
    <row r="663" spans="21:23" x14ac:dyDescent="0.25">
      <c r="W663" s="1" t="e">
        <f>TEXT(DetteFrs[Date Saisie],"yyyy")</f>
        <v>#VALUE!</v>
      </c>
    </row>
  </sheetData>
  <sheetProtection sheet="1" objects="1" scenarios="1" selectLockedCells="1"/>
  <mergeCells count="3">
    <mergeCell ref="C5:D5"/>
    <mergeCell ref="C6:F6"/>
    <mergeCell ref="C12:D12"/>
  </mergeCells>
  <conditionalFormatting sqref="D15:D129">
    <cfRule type="duplicateValues" dxfId="64" priority="24"/>
  </conditionalFormatting>
  <conditionalFormatting sqref="D14">
    <cfRule type="duplicateValues" dxfId="63" priority="2"/>
  </conditionalFormatting>
  <pageMargins left="0" right="0" top="0" bottom="0" header="0" footer="0"/>
  <pageSetup paperSize="9" scale="10" orientation="landscape" r:id="rId1"/>
  <headerFooter scaleWithDoc="0" alignWithMargins="0"/>
  <drawing r:id="rId2"/>
  <tableParts count="2">
    <tablePart r:id="rId3"/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operator="greaterThanOrEqual" allowBlank="1" showInputMessage="1" showErrorMessage="1">
          <x14:formula1>
            <xm:f>Paramètres!$C$7:$C$119</xm:f>
          </x14:formula1>
          <xm:sqref>D8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B1:O46"/>
  <sheetViews>
    <sheetView showGridLines="0" zoomScale="70" zoomScaleNormal="70" workbookViewId="0">
      <pane ySplit="13" topLeftCell="A14" activePane="bottomLeft" state="frozen"/>
      <selection pane="bottomLeft" activeCell="D8" sqref="D8"/>
    </sheetView>
  </sheetViews>
  <sheetFormatPr baseColWidth="10" defaultRowHeight="15" x14ac:dyDescent="0.25"/>
  <cols>
    <col min="1" max="1" width="4.42578125" style="1" customWidth="1"/>
    <col min="2" max="2" width="7.85546875" style="2" customWidth="1"/>
    <col min="3" max="3" width="18.42578125" style="2" customWidth="1"/>
    <col min="4" max="4" width="18.7109375" style="2" customWidth="1"/>
    <col min="5" max="5" width="24.42578125" style="2" customWidth="1"/>
    <col min="6" max="6" width="22.28515625" style="2" customWidth="1"/>
    <col min="7" max="7" width="19.42578125" style="2" customWidth="1"/>
    <col min="8" max="8" width="23.28515625" style="2" customWidth="1"/>
    <col min="9" max="9" width="21" style="2" customWidth="1"/>
    <col min="10" max="10" width="19.140625" style="2" customWidth="1"/>
    <col min="11" max="11" width="11.5703125" style="2" customWidth="1"/>
    <col min="12" max="12" width="12.5703125" style="2" customWidth="1"/>
    <col min="13" max="13" width="23.85546875" style="2" customWidth="1"/>
    <col min="14" max="14" width="12.5703125" style="2" customWidth="1"/>
    <col min="15" max="15" width="11.42578125" style="2"/>
    <col min="16" max="16384" width="11.42578125" style="1"/>
  </cols>
  <sheetData>
    <row r="1" spans="2:15" s="2" customFormat="1" x14ac:dyDescent="0.25"/>
    <row r="2" spans="2:15" s="2" customFormat="1" x14ac:dyDescent="0.25"/>
    <row r="3" spans="2:15" x14ac:dyDescent="0.25"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</row>
    <row r="5" spans="2:15" ht="17.25" x14ac:dyDescent="0.3">
      <c r="C5" s="88" t="s">
        <v>18</v>
      </c>
      <c r="D5" s="89"/>
      <c r="E5" s="3"/>
    </row>
    <row r="6" spans="2:15" ht="16.5" x14ac:dyDescent="0.3">
      <c r="C6" s="90" t="s">
        <v>12</v>
      </c>
      <c r="D6" s="90"/>
      <c r="E6" s="90"/>
      <c r="F6" s="90"/>
    </row>
    <row r="7" spans="2:15" ht="16.5" customHeight="1" x14ac:dyDescent="0.25">
      <c r="C7" s="3"/>
      <c r="D7" s="3"/>
      <c r="E7" s="3"/>
      <c r="F7" s="3"/>
    </row>
    <row r="8" spans="2:15" ht="16.5" x14ac:dyDescent="0.3">
      <c r="C8" s="10" t="s">
        <v>197</v>
      </c>
      <c r="D8" s="84"/>
      <c r="E8" s="10" t="s">
        <v>17</v>
      </c>
      <c r="F8" s="19">
        <f ca="1">+TODAY()</f>
        <v>45829</v>
      </c>
      <c r="G8" s="10" t="s">
        <v>200</v>
      </c>
      <c r="H8" s="82"/>
      <c r="I8" s="10" t="s">
        <v>201</v>
      </c>
      <c r="J8" s="6"/>
    </row>
    <row r="9" spans="2:15" ht="15.75" customHeight="1" x14ac:dyDescent="0.25">
      <c r="C9" s="4"/>
      <c r="D9" s="3"/>
      <c r="E9" s="5"/>
      <c r="F9" s="3"/>
      <c r="G9" s="5"/>
      <c r="H9" s="81"/>
    </row>
    <row r="10" spans="2:15" ht="16.5" x14ac:dyDescent="0.25">
      <c r="C10" s="10" t="s">
        <v>203</v>
      </c>
      <c r="D10" s="11" t="str">
        <f>IFERROR(VLOOKUP(Règlements!F10,DetteFrs[[Fournisseur]:[N°Tiers]],3,FALSE),"")</f>
        <v/>
      </c>
      <c r="E10" s="10" t="s">
        <v>0</v>
      </c>
      <c r="F10" s="11" t="str">
        <f>IFERROR(VLOOKUP(D8,DetteFrs[[N°Facture]:[Fournisseur]],2,FALSE),"")</f>
        <v/>
      </c>
      <c r="G10" s="10" t="s">
        <v>199</v>
      </c>
      <c r="H10" s="83" t="str">
        <f>IFERROR(VLOOKUP(D8,DetteFrs[[N°Facture]:[Solde]],7,FALSE),"")</f>
        <v/>
      </c>
      <c r="I10" s="10" t="s">
        <v>198</v>
      </c>
      <c r="J10" s="83"/>
    </row>
    <row r="12" spans="2:15" ht="20.100000000000001" customHeight="1" x14ac:dyDescent="0.25">
      <c r="C12" s="91" t="s">
        <v>19</v>
      </c>
      <c r="D12" s="92"/>
    </row>
    <row r="13" spans="2:15" ht="16.5" x14ac:dyDescent="0.3">
      <c r="C13" s="7" t="s">
        <v>2</v>
      </c>
      <c r="D13" s="7" t="s">
        <v>14</v>
      </c>
      <c r="E13" s="7" t="s">
        <v>0</v>
      </c>
      <c r="F13" s="7" t="s">
        <v>15</v>
      </c>
      <c r="G13" s="7" t="s">
        <v>16</v>
      </c>
      <c r="H13" s="7" t="s">
        <v>166</v>
      </c>
      <c r="I13" s="7" t="s">
        <v>5</v>
      </c>
    </row>
    <row r="14" spans="2:15" x14ac:dyDescent="0.25">
      <c r="C14" s="2">
        <v>25800096</v>
      </c>
      <c r="D14" s="34">
        <v>45826</v>
      </c>
      <c r="E14" s="2" t="str">
        <f>+VLOOKUP(ReglFrs[N°TIERS],Tableau5[[N°tiers]:[Fournisseur]],2,FALSE)</f>
        <v>AFRICA GLOBAL LOGISTICS</v>
      </c>
      <c r="F14" s="81" t="s">
        <v>202</v>
      </c>
      <c r="G14" s="2" t="s">
        <v>168</v>
      </c>
      <c r="H14" s="2">
        <v>4011100001</v>
      </c>
      <c r="I14" s="85">
        <v>1745250</v>
      </c>
    </row>
    <row r="15" spans="2:15" x14ac:dyDescent="0.25">
      <c r="C15" s="2">
        <v>7613850835</v>
      </c>
      <c r="D15" s="34">
        <v>45706</v>
      </c>
      <c r="E15" s="2" t="str">
        <f>+VLOOKUP(ReglFrs[N°TIERS],Tableau5[[N°tiers]:[Fournisseur]],2,FALSE)</f>
        <v>MAERSK COTE D IVOIRE</v>
      </c>
      <c r="F15" s="81">
        <v>469413</v>
      </c>
      <c r="G15" s="2" t="s">
        <v>168</v>
      </c>
      <c r="H15" s="2">
        <v>4011100006</v>
      </c>
      <c r="I15" s="85">
        <v>141600</v>
      </c>
    </row>
    <row r="16" spans="2:15" x14ac:dyDescent="0.25">
      <c r="C16" s="2">
        <v>7613850101</v>
      </c>
      <c r="D16" s="34">
        <v>45706</v>
      </c>
      <c r="E16" s="2" t="str">
        <f>+VLOOKUP(ReglFrs[N°TIERS],Tableau5[[N°tiers]:[Fournisseur]],2,FALSE)</f>
        <v>MAERSK COTE D IVOIRE</v>
      </c>
      <c r="F16" s="81">
        <v>469411</v>
      </c>
      <c r="G16" s="2" t="s">
        <v>168</v>
      </c>
      <c r="H16" s="2">
        <v>4011100006</v>
      </c>
      <c r="I16" s="85">
        <v>141600</v>
      </c>
    </row>
    <row r="17" spans="3:9" x14ac:dyDescent="0.25">
      <c r="C17" s="2">
        <v>5618649560</v>
      </c>
      <c r="D17" s="34">
        <v>45699</v>
      </c>
      <c r="E17" s="2" t="str">
        <f>+VLOOKUP(ReglFrs[N°TIERS],Tableau5[[N°tiers]:[Fournisseur]],2,FALSE)</f>
        <v>MAERSK COTE D IVOIRE</v>
      </c>
      <c r="F17" s="81" t="s">
        <v>167</v>
      </c>
      <c r="G17" s="2" t="s">
        <v>169</v>
      </c>
      <c r="H17" s="2">
        <v>4011100006</v>
      </c>
      <c r="I17" s="85">
        <v>484220</v>
      </c>
    </row>
    <row r="18" spans="3:9" x14ac:dyDescent="0.25">
      <c r="C18" s="2">
        <v>5618649561</v>
      </c>
      <c r="D18" s="34">
        <v>45699</v>
      </c>
      <c r="E18" s="2" t="str">
        <f>+VLOOKUP(ReglFrs[N°TIERS],Tableau5[[N°tiers]:[Fournisseur]],2,FALSE)</f>
        <v>MAERSK COTE D IVOIRE</v>
      </c>
      <c r="F18" s="81" t="s">
        <v>167</v>
      </c>
      <c r="G18" s="2" t="s">
        <v>169</v>
      </c>
      <c r="H18" s="2">
        <v>4011100006</v>
      </c>
      <c r="I18" s="85">
        <v>70740</v>
      </c>
    </row>
    <row r="19" spans="3:9" x14ac:dyDescent="0.25">
      <c r="C19" s="2">
        <v>5618648437</v>
      </c>
      <c r="D19" s="34">
        <v>45699</v>
      </c>
      <c r="E19" s="2" t="str">
        <f>+VLOOKUP(ReglFrs[N°TIERS],Tableau5[[N°tiers]:[Fournisseur]],2,FALSE)</f>
        <v>MAERSK COTE D IVOIRE</v>
      </c>
      <c r="F19" s="81" t="s">
        <v>167</v>
      </c>
      <c r="G19" s="2" t="s">
        <v>169</v>
      </c>
      <c r="H19" s="2">
        <v>4011100006</v>
      </c>
      <c r="I19" s="85">
        <v>1387000</v>
      </c>
    </row>
    <row r="20" spans="3:9" x14ac:dyDescent="0.25">
      <c r="C20" s="2">
        <v>5618648362</v>
      </c>
      <c r="D20" s="34">
        <v>45699</v>
      </c>
      <c r="E20" s="2" t="str">
        <f>+VLOOKUP(ReglFrs[N°TIERS],Tableau5[[N°tiers]:[Fournisseur]],2,FALSE)</f>
        <v>MAERSK COTE D IVOIRE</v>
      </c>
      <c r="F20" s="81" t="s">
        <v>167</v>
      </c>
      <c r="G20" s="2" t="s">
        <v>169</v>
      </c>
      <c r="H20" s="2">
        <v>4011100006</v>
      </c>
      <c r="I20" s="85">
        <v>50000</v>
      </c>
    </row>
    <row r="21" spans="3:9" x14ac:dyDescent="0.25">
      <c r="C21" s="2">
        <v>5618650083</v>
      </c>
      <c r="D21" s="34">
        <v>45699</v>
      </c>
      <c r="E21" s="2" t="str">
        <f>+VLOOKUP(ReglFrs[N°TIERS],Tableau5[[N°tiers]:[Fournisseur]],2,FALSE)</f>
        <v>MAERSK COTE D IVOIRE</v>
      </c>
      <c r="F21" s="81" t="s">
        <v>167</v>
      </c>
      <c r="G21" s="2" t="s">
        <v>169</v>
      </c>
      <c r="H21" s="2">
        <v>4011100006</v>
      </c>
      <c r="I21" s="85">
        <v>10000</v>
      </c>
    </row>
    <row r="22" spans="3:9" x14ac:dyDescent="0.25">
      <c r="C22" s="2">
        <v>5418646723</v>
      </c>
      <c r="D22" s="34">
        <v>45699</v>
      </c>
      <c r="E22" s="2" t="str">
        <f>+VLOOKUP(ReglFrs[N°TIERS],Tableau5[[N°tiers]:[Fournisseur]],2,FALSE)</f>
        <v>MAERSK COTE D IVOIRE</v>
      </c>
      <c r="F22" s="81" t="s">
        <v>167</v>
      </c>
      <c r="G22" s="2" t="s">
        <v>169</v>
      </c>
      <c r="H22" s="2">
        <v>4011100006</v>
      </c>
      <c r="I22" s="85">
        <v>43665</v>
      </c>
    </row>
    <row r="23" spans="3:9" x14ac:dyDescent="0.25">
      <c r="C23" s="2">
        <v>7523589774</v>
      </c>
      <c r="D23" s="34">
        <v>45699</v>
      </c>
      <c r="E23" s="2" t="str">
        <f>+VLOOKUP(ReglFrs[N°TIERS],Tableau5[[N°tiers]:[Fournisseur]],2,FALSE)</f>
        <v>MAERSK COTE D IVOIRE</v>
      </c>
      <c r="F23" s="81" t="s">
        <v>167</v>
      </c>
      <c r="G23" s="2" t="s">
        <v>169</v>
      </c>
      <c r="H23" s="2">
        <v>4011100006</v>
      </c>
      <c r="I23" s="85">
        <v>60000</v>
      </c>
    </row>
    <row r="24" spans="3:9" x14ac:dyDescent="0.25">
      <c r="C24" s="2">
        <v>7523636818</v>
      </c>
      <c r="D24" s="34">
        <v>45699</v>
      </c>
      <c r="E24" s="2" t="str">
        <f>+VLOOKUP(ReglFrs[N°TIERS],Tableau5[[N°tiers]:[Fournisseur]],2,FALSE)</f>
        <v>MAERSK COTE D IVOIRE</v>
      </c>
      <c r="F24" s="81" t="s">
        <v>167</v>
      </c>
      <c r="G24" s="2" t="s">
        <v>169</v>
      </c>
      <c r="H24" s="2">
        <v>4011100006</v>
      </c>
      <c r="I24" s="85">
        <v>37500</v>
      </c>
    </row>
    <row r="25" spans="3:9" x14ac:dyDescent="0.25">
      <c r="C25" s="2">
        <v>7523692981</v>
      </c>
      <c r="D25" s="34">
        <v>45699</v>
      </c>
      <c r="E25" s="2" t="str">
        <f>+VLOOKUP(ReglFrs[N°TIERS],Tableau5[[N°tiers]:[Fournisseur]],2,FALSE)</f>
        <v>MAERSK COTE D IVOIRE</v>
      </c>
      <c r="F25" s="81" t="s">
        <v>167</v>
      </c>
      <c r="G25" s="2" t="s">
        <v>169</v>
      </c>
      <c r="H25" s="2">
        <v>4011100006</v>
      </c>
      <c r="I25" s="85">
        <v>37500</v>
      </c>
    </row>
    <row r="26" spans="3:9" x14ac:dyDescent="0.25">
      <c r="C26" s="2">
        <v>7523942501</v>
      </c>
      <c r="D26" s="34">
        <v>45699</v>
      </c>
      <c r="E26" s="2" t="str">
        <f>+VLOOKUP(ReglFrs[N°TIERS],Tableau5[[N°tiers]:[Fournisseur]],2,FALSE)</f>
        <v>MAERSK COTE D IVOIRE</v>
      </c>
      <c r="F26" s="81" t="s">
        <v>167</v>
      </c>
      <c r="G26" s="2" t="s">
        <v>169</v>
      </c>
      <c r="H26" s="2">
        <v>4011100006</v>
      </c>
      <c r="I26" s="85">
        <v>92500</v>
      </c>
    </row>
    <row r="27" spans="3:9" x14ac:dyDescent="0.25">
      <c r="C27" s="2">
        <v>7523850660</v>
      </c>
      <c r="D27" s="34">
        <v>45699</v>
      </c>
      <c r="E27" s="2" t="str">
        <f>+VLOOKUP(ReglFrs[N°TIERS],Tableau5[[N°tiers]:[Fournisseur]],2,FALSE)</f>
        <v>MAERSK COTE D IVOIRE</v>
      </c>
      <c r="F27" s="81" t="s">
        <v>167</v>
      </c>
      <c r="G27" s="2" t="s">
        <v>169</v>
      </c>
      <c r="H27" s="2">
        <v>4011100006</v>
      </c>
      <c r="I27" s="85">
        <v>47200</v>
      </c>
    </row>
    <row r="28" spans="3:9" x14ac:dyDescent="0.25">
      <c r="C28" s="2">
        <v>7613846711</v>
      </c>
      <c r="D28" s="34">
        <v>45699</v>
      </c>
      <c r="E28" s="2" t="str">
        <f>+VLOOKUP(ReglFrs[N°TIERS],Tableau5[[N°tiers]:[Fournisseur]],2,FALSE)</f>
        <v>MAERSK COTE D IVOIRE</v>
      </c>
      <c r="F28" s="81" t="s">
        <v>167</v>
      </c>
      <c r="G28" s="2" t="s">
        <v>169</v>
      </c>
      <c r="H28" s="2">
        <v>4011100006</v>
      </c>
      <c r="I28" s="85">
        <v>501983</v>
      </c>
    </row>
    <row r="29" spans="3:9" x14ac:dyDescent="0.25">
      <c r="C29" s="2">
        <v>7613848295</v>
      </c>
      <c r="D29" s="34">
        <v>45699</v>
      </c>
      <c r="E29" s="2" t="str">
        <f>+VLOOKUP(ReglFrs[N°TIERS],Tableau5[[N°tiers]:[Fournisseur]],2,FALSE)</f>
        <v>MAERSK COTE D IVOIRE</v>
      </c>
      <c r="F29" s="81" t="s">
        <v>167</v>
      </c>
      <c r="G29" s="2" t="s">
        <v>169</v>
      </c>
      <c r="H29" s="2">
        <v>4011100006</v>
      </c>
      <c r="I29" s="85">
        <v>5664000</v>
      </c>
    </row>
    <row r="30" spans="3:9" x14ac:dyDescent="0.25">
      <c r="C30" s="2">
        <v>7613848679</v>
      </c>
      <c r="D30" s="34">
        <v>45699</v>
      </c>
      <c r="E30" s="2" t="str">
        <f>+VLOOKUP(ReglFrs[N°TIERS],Tableau5[[N°tiers]:[Fournisseur]],2,FALSE)</f>
        <v>MAERSK COTE D IVOIRE</v>
      </c>
      <c r="F30" s="81" t="s">
        <v>167</v>
      </c>
      <c r="G30" s="2" t="s">
        <v>169</v>
      </c>
      <c r="H30" s="2">
        <v>4011100006</v>
      </c>
      <c r="I30" s="85">
        <v>247800</v>
      </c>
    </row>
    <row r="31" spans="3:9" x14ac:dyDescent="0.25">
      <c r="C31" s="2">
        <v>7613848663</v>
      </c>
      <c r="D31" s="34">
        <v>45699</v>
      </c>
      <c r="E31" s="2" t="str">
        <f>+VLOOKUP(ReglFrs[N°TIERS],Tableau5[[N°tiers]:[Fournisseur]],2,FALSE)</f>
        <v>MAERSK COTE D IVOIRE</v>
      </c>
      <c r="F31" s="81" t="s">
        <v>167</v>
      </c>
      <c r="G31" s="2" t="s">
        <v>169</v>
      </c>
      <c r="H31" s="2">
        <v>4011100006</v>
      </c>
      <c r="I31" s="85">
        <v>247800</v>
      </c>
    </row>
    <row r="32" spans="3:9" x14ac:dyDescent="0.25">
      <c r="C32" s="2">
        <v>7613849146</v>
      </c>
      <c r="D32" s="34">
        <v>45699</v>
      </c>
      <c r="E32" s="2" t="str">
        <f>+VLOOKUP(ReglFrs[N°TIERS],Tableau5[[N°tiers]:[Fournisseur]],2,FALSE)</f>
        <v>MAERSK COTE D IVOIRE</v>
      </c>
      <c r="F32" s="81" t="s">
        <v>167</v>
      </c>
      <c r="G32" s="2" t="s">
        <v>169</v>
      </c>
      <c r="H32" s="2">
        <v>4011100006</v>
      </c>
      <c r="I32" s="85">
        <v>160480</v>
      </c>
    </row>
    <row r="33" spans="3:9" x14ac:dyDescent="0.25">
      <c r="C33" s="2" t="s">
        <v>155</v>
      </c>
      <c r="D33" s="34">
        <v>45677</v>
      </c>
      <c r="E33" s="2" t="str">
        <f>+VLOOKUP(ReglFrs[N°TIERS],Tableau5[[N°tiers]:[Fournisseur]],2,FALSE)</f>
        <v>SCI YOKAMI</v>
      </c>
      <c r="F33" s="81">
        <v>469323</v>
      </c>
      <c r="G33" s="2" t="s">
        <v>168</v>
      </c>
      <c r="H33" s="2">
        <v>4011200004</v>
      </c>
      <c r="I33" s="85">
        <v>1650000</v>
      </c>
    </row>
    <row r="34" spans="3:9" x14ac:dyDescent="0.25">
      <c r="C34" s="2" t="s">
        <v>156</v>
      </c>
      <c r="D34" s="34">
        <v>45721</v>
      </c>
      <c r="E34" s="2" t="str">
        <f>+VLOOKUP(ReglFrs[N°TIERS],Tableau5[[N°tiers]:[Fournisseur]],2,FALSE)</f>
        <v>SUNU</v>
      </c>
      <c r="F34" s="81">
        <v>469436</v>
      </c>
      <c r="G34" s="2" t="s">
        <v>168</v>
      </c>
      <c r="H34" s="2">
        <v>4011200007</v>
      </c>
      <c r="I34" s="85">
        <v>37283204</v>
      </c>
    </row>
    <row r="35" spans="3:9" x14ac:dyDescent="0.25">
      <c r="C35" s="2">
        <v>8742835012025</v>
      </c>
      <c r="D35" s="34">
        <v>45685</v>
      </c>
      <c r="E35" s="2" t="str">
        <f>+VLOOKUP(ReglFrs[N°TIERS],Tableau5[[N°tiers]:[Fournisseur]],2,FALSE)</f>
        <v>ORANGE COTE D IVOIRE</v>
      </c>
      <c r="F35" s="81">
        <v>469361</v>
      </c>
      <c r="G35" s="2" t="s">
        <v>168</v>
      </c>
      <c r="H35" s="2">
        <v>4011200013</v>
      </c>
      <c r="I35" s="85">
        <v>85000</v>
      </c>
    </row>
    <row r="36" spans="3:9" x14ac:dyDescent="0.25">
      <c r="C36" s="2">
        <v>86646012025</v>
      </c>
      <c r="D36" s="34">
        <v>45685</v>
      </c>
      <c r="E36" s="2" t="str">
        <f>+VLOOKUP(ReglFrs[N°TIERS],Tableau5[[N°tiers]:[Fournisseur]],2,FALSE)</f>
        <v>ORANGE COTE D IVOIRE</v>
      </c>
      <c r="F36" s="81">
        <v>469361</v>
      </c>
      <c r="G36" s="2" t="s">
        <v>168</v>
      </c>
      <c r="H36" s="2">
        <v>4011200013</v>
      </c>
      <c r="I36" s="85">
        <v>118999</v>
      </c>
    </row>
    <row r="37" spans="3:9" x14ac:dyDescent="0.25">
      <c r="C37" s="2">
        <v>8668567012025</v>
      </c>
      <c r="D37" s="34">
        <v>45685</v>
      </c>
      <c r="E37" s="2" t="str">
        <f>+VLOOKUP(ReglFrs[N°TIERS],Tableau5[[N°tiers]:[Fournisseur]],2,FALSE)</f>
        <v>ORANGE COTE D IVOIRE</v>
      </c>
      <c r="F37" s="81">
        <v>469361</v>
      </c>
      <c r="G37" s="2" t="s">
        <v>168</v>
      </c>
      <c r="H37" s="2">
        <v>4011200013</v>
      </c>
      <c r="I37" s="85">
        <v>56398</v>
      </c>
    </row>
    <row r="38" spans="3:9" x14ac:dyDescent="0.25">
      <c r="C38" s="2">
        <v>8668435012025</v>
      </c>
      <c r="D38" s="34">
        <v>45685</v>
      </c>
      <c r="E38" s="2" t="str">
        <f>+VLOOKUP(ReglFrs[N°TIERS],Tableau5[[N°tiers]:[Fournisseur]],2,FALSE)</f>
        <v>ORANGE COTE D IVOIRE</v>
      </c>
      <c r="F38" s="81">
        <v>469361</v>
      </c>
      <c r="G38" s="2" t="s">
        <v>168</v>
      </c>
      <c r="H38" s="2">
        <v>4011200013</v>
      </c>
      <c r="I38" s="85">
        <v>30763</v>
      </c>
    </row>
    <row r="39" spans="3:9" x14ac:dyDescent="0.25">
      <c r="C39" s="2">
        <v>8714185012025</v>
      </c>
      <c r="D39" s="34">
        <v>45685</v>
      </c>
      <c r="E39" s="2" t="str">
        <f>+VLOOKUP(ReglFrs[N°TIERS],Tableau5[[N°tiers]:[Fournisseur]],2,FALSE)</f>
        <v>ORANGE COTE D IVOIRE</v>
      </c>
      <c r="F39" s="81">
        <v>469361</v>
      </c>
      <c r="G39" s="2" t="s">
        <v>168</v>
      </c>
      <c r="H39" s="2">
        <v>4011200013</v>
      </c>
      <c r="I39" s="85">
        <v>25000</v>
      </c>
    </row>
    <row r="40" spans="3:9" x14ac:dyDescent="0.25">
      <c r="C40" s="2" t="s">
        <v>157</v>
      </c>
      <c r="D40" s="34">
        <v>45685</v>
      </c>
      <c r="E40" s="2" t="str">
        <f>+VLOOKUP(ReglFrs[N°TIERS],Tableau5[[N°tiers]:[Fournisseur]],2,FALSE)</f>
        <v>ORANGE COTE D IVOIRE</v>
      </c>
      <c r="F40" s="81">
        <v>469361</v>
      </c>
      <c r="G40" s="2" t="s">
        <v>168</v>
      </c>
      <c r="H40" s="2">
        <v>4011200013</v>
      </c>
      <c r="I40" s="85">
        <v>12100</v>
      </c>
    </row>
    <row r="41" spans="3:9" x14ac:dyDescent="0.25">
      <c r="C41" s="2">
        <v>877866012025</v>
      </c>
      <c r="D41" s="34">
        <v>45685</v>
      </c>
      <c r="E41" s="2" t="str">
        <f>+VLOOKUP(ReglFrs[N°TIERS],Tableau5[[N°tiers]:[Fournisseur]],2,FALSE)</f>
        <v>ORANGE COTE D IVOIRE</v>
      </c>
      <c r="F41" s="81">
        <v>469361</v>
      </c>
      <c r="G41" s="2" t="s">
        <v>168</v>
      </c>
      <c r="H41" s="2">
        <v>4011200013</v>
      </c>
      <c r="I41" s="85">
        <v>76905</v>
      </c>
    </row>
    <row r="42" spans="3:9" x14ac:dyDescent="0.25">
      <c r="C42" s="2">
        <v>8777865012025</v>
      </c>
      <c r="D42" s="34">
        <v>45685</v>
      </c>
      <c r="E42" s="2" t="str">
        <f>+VLOOKUP(ReglFrs[N°TIERS],Tableau5[[N°tiers]:[Fournisseur]],2,FALSE)</f>
        <v>ORANGE COTE D IVOIRE</v>
      </c>
      <c r="F42" s="81">
        <v>469361</v>
      </c>
      <c r="G42" s="2" t="s">
        <v>168</v>
      </c>
      <c r="H42" s="2">
        <v>4011200013</v>
      </c>
      <c r="I42" s="85">
        <v>2168755</v>
      </c>
    </row>
    <row r="43" spans="3:9" x14ac:dyDescent="0.25">
      <c r="C43" s="2">
        <v>9008457042025</v>
      </c>
      <c r="D43" s="34">
        <v>45764</v>
      </c>
      <c r="E43" s="2" t="str">
        <f>+VLOOKUP(ReglFrs[N°TIERS],Tableau5[[N°tiers]:[Fournisseur]],2,FALSE)</f>
        <v>ORANGE COTE D IVOIRE</v>
      </c>
      <c r="F43" s="81">
        <v>469525</v>
      </c>
      <c r="G43" s="2" t="s">
        <v>168</v>
      </c>
      <c r="H43" s="2">
        <v>4011200013</v>
      </c>
      <c r="I43" s="85">
        <v>118999</v>
      </c>
    </row>
    <row r="44" spans="3:9" x14ac:dyDescent="0.25">
      <c r="C44" s="2" t="s">
        <v>158</v>
      </c>
      <c r="D44" s="34">
        <v>45764</v>
      </c>
      <c r="E44" s="2" t="str">
        <f>+VLOOKUP(ReglFrs[N°TIERS],Tableau5[[N°tiers]:[Fournisseur]],2,FALSE)</f>
        <v>ORANGE COTE D IVOIRE</v>
      </c>
      <c r="F44" s="81">
        <v>469525</v>
      </c>
      <c r="G44" s="2" t="s">
        <v>168</v>
      </c>
      <c r="H44" s="2">
        <v>4011200013</v>
      </c>
      <c r="I44" s="85">
        <v>12100</v>
      </c>
    </row>
    <row r="45" spans="3:9" x14ac:dyDescent="0.25">
      <c r="C45" s="2">
        <v>30336</v>
      </c>
      <c r="D45" s="34">
        <v>45751</v>
      </c>
      <c r="E45" s="2" t="str">
        <f>+VLOOKUP(ReglFrs[N°TIERS],Tableau5[[N°tiers]:[Fournisseur]],2,FALSE)</f>
        <v>CCIS</v>
      </c>
      <c r="F45" s="81">
        <v>468590</v>
      </c>
      <c r="G45" s="2" t="s">
        <v>168</v>
      </c>
      <c r="H45" s="2">
        <v>4011100499</v>
      </c>
      <c r="I45" s="85">
        <v>50000</v>
      </c>
    </row>
    <row r="46" spans="3:9" x14ac:dyDescent="0.25">
      <c r="C46" s="2">
        <v>30373</v>
      </c>
      <c r="D46" s="34">
        <v>45751</v>
      </c>
      <c r="E46" s="2" t="str">
        <f>+VLOOKUP(ReglFrs[N°TIERS],Tableau5[[N°tiers]:[Fournisseur]],2,FALSE)</f>
        <v>CCIS</v>
      </c>
      <c r="F46" s="81">
        <v>468590</v>
      </c>
      <c r="G46" s="2" t="s">
        <v>168</v>
      </c>
      <c r="H46" s="2">
        <v>4011100499</v>
      </c>
      <c r="I46" s="85">
        <v>197500</v>
      </c>
    </row>
  </sheetData>
  <mergeCells count="3">
    <mergeCell ref="C5:D5"/>
    <mergeCell ref="C6:F6"/>
    <mergeCell ref="C12:D12"/>
  </mergeCells>
  <dataValidations count="1">
    <dataValidation type="list" allowBlank="1" showInputMessage="1" showErrorMessage="1" sqref="J8">
      <formula1>"Chèque,Virement Bancaire,Espèce,Autres"</formula1>
    </dataValidation>
  </dataValidations>
  <pageMargins left="0" right="0" top="0" bottom="0" header="0" footer="0"/>
  <pageSetup paperSize="9" scale="10" orientation="landscape" r:id="rId1"/>
  <headerFooter scaleWithDoc="0" alignWithMargins="0"/>
  <ignoredErrors>
    <ignoredError sqref="F15:F46" numberStoredAsText="1"/>
  </ignoredErrors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Dettes!$D$14:$D$128</xm:f>
          </x14:formula1>
          <xm:sqref>D8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B1:Q121"/>
  <sheetViews>
    <sheetView showGridLines="0" zoomScale="80" zoomScaleNormal="80" workbookViewId="0">
      <selection activeCell="I11" sqref="I11"/>
    </sheetView>
  </sheetViews>
  <sheetFormatPr baseColWidth="10" defaultRowHeight="15" x14ac:dyDescent="0.25"/>
  <cols>
    <col min="1" max="1" width="4.42578125" style="1" customWidth="1"/>
    <col min="2" max="2" width="7.85546875" style="2" customWidth="1"/>
    <col min="3" max="3" width="18.42578125" style="2" customWidth="1"/>
    <col min="4" max="4" width="22.42578125" style="2" customWidth="1"/>
    <col min="5" max="5" width="19.85546875" style="2" customWidth="1"/>
    <col min="6" max="6" width="22.28515625" style="2" customWidth="1"/>
    <col min="7" max="8" width="9.7109375" style="2" customWidth="1"/>
    <col min="9" max="9" width="24.140625" style="2" customWidth="1"/>
    <col min="10" max="10" width="21" style="2" customWidth="1"/>
    <col min="11" max="11" width="21.140625" style="2" customWidth="1"/>
    <col min="12" max="12" width="11.5703125" style="2" customWidth="1"/>
    <col min="13" max="13" width="12.5703125" style="2" customWidth="1"/>
    <col min="14" max="14" width="23.85546875" style="2" customWidth="1"/>
    <col min="15" max="15" width="12.5703125" style="2" customWidth="1"/>
    <col min="16" max="16" width="11.42578125" style="2"/>
    <col min="17" max="16384" width="11.42578125" style="1"/>
  </cols>
  <sheetData>
    <row r="1" spans="2:17" s="2" customFormat="1" x14ac:dyDescent="0.25"/>
    <row r="2" spans="2:17" s="2" customFormat="1" x14ac:dyDescent="0.25"/>
    <row r="3" spans="2:17" x14ac:dyDescent="0.25"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5" spans="2:17" ht="17.25" x14ac:dyDescent="0.3">
      <c r="C5" s="12"/>
      <c r="D5" s="13"/>
      <c r="E5" s="3"/>
    </row>
    <row r="6" spans="2:17" ht="16.5" x14ac:dyDescent="0.3">
      <c r="C6" s="14" t="s">
        <v>133</v>
      </c>
      <c r="D6" s="14" t="s">
        <v>0</v>
      </c>
      <c r="E6" s="14" t="s">
        <v>3</v>
      </c>
      <c r="F6" s="14" t="s">
        <v>134</v>
      </c>
      <c r="G6" s="14" t="s">
        <v>136</v>
      </c>
      <c r="H6" s="14"/>
      <c r="Q6" s="2"/>
    </row>
    <row r="7" spans="2:17" ht="16.5" customHeight="1" x14ac:dyDescent="0.3">
      <c r="C7" s="3">
        <v>401100490</v>
      </c>
      <c r="D7" s="3" t="s">
        <v>20</v>
      </c>
      <c r="E7" s="15" t="s">
        <v>140</v>
      </c>
      <c r="F7" s="15"/>
      <c r="G7" s="3">
        <f>LEN(Tableau5[N°tiers])</f>
        <v>9</v>
      </c>
      <c r="H7" s="3"/>
      <c r="Q7" s="2"/>
    </row>
    <row r="8" spans="2:17" ht="17.25" x14ac:dyDescent="0.3">
      <c r="C8" s="3">
        <v>4011100001</v>
      </c>
      <c r="D8" s="3" t="s">
        <v>21</v>
      </c>
      <c r="E8" s="15" t="s">
        <v>140</v>
      </c>
      <c r="F8" s="16"/>
      <c r="G8" s="3">
        <f>LEN(Tableau5[N°tiers])</f>
        <v>10</v>
      </c>
      <c r="H8" s="3"/>
      <c r="I8" s="41" t="s">
        <v>178</v>
      </c>
      <c r="J8" s="42">
        <v>45808</v>
      </c>
      <c r="K8" s="43">
        <f>J8-DAY(J8)+1</f>
        <v>45778</v>
      </c>
      <c r="Q8" s="2"/>
    </row>
    <row r="9" spans="2:17" ht="15.75" customHeight="1" x14ac:dyDescent="0.3">
      <c r="C9" s="3">
        <v>4011100002</v>
      </c>
      <c r="D9" s="3" t="s">
        <v>22</v>
      </c>
      <c r="E9" s="15" t="s">
        <v>140</v>
      </c>
      <c r="F9" s="16"/>
      <c r="G9" s="3">
        <f>LEN(Tableau5[N°tiers])</f>
        <v>10</v>
      </c>
      <c r="H9" s="3"/>
      <c r="I9" s="3"/>
      <c r="J9" s="3"/>
      <c r="Q9" s="2"/>
    </row>
    <row r="10" spans="2:17" ht="16.5" x14ac:dyDescent="0.3">
      <c r="C10" s="3">
        <v>4011100004</v>
      </c>
      <c r="D10" s="3" t="s">
        <v>23</v>
      </c>
      <c r="E10" s="15" t="s">
        <v>140</v>
      </c>
      <c r="F10" s="16"/>
      <c r="G10" s="3">
        <f>LEN(Tableau5[N°tiers])</f>
        <v>10</v>
      </c>
      <c r="H10" s="3"/>
      <c r="I10" s="3"/>
      <c r="J10" s="3"/>
      <c r="Q10" s="2"/>
    </row>
    <row r="11" spans="2:17" ht="16.5" x14ac:dyDescent="0.3">
      <c r="C11" s="3">
        <v>4011100006</v>
      </c>
      <c r="D11" s="3" t="s">
        <v>24</v>
      </c>
      <c r="E11" s="15" t="s">
        <v>140</v>
      </c>
      <c r="F11" s="16"/>
      <c r="G11" s="3">
        <f>LEN(Tableau5[N°tiers])</f>
        <v>10</v>
      </c>
      <c r="H11" s="3"/>
      <c r="Q11" s="2"/>
    </row>
    <row r="12" spans="2:17" ht="20.100000000000001" customHeight="1" x14ac:dyDescent="0.3">
      <c r="C12" s="3">
        <v>4011100007</v>
      </c>
      <c r="D12" s="3" t="s">
        <v>25</v>
      </c>
      <c r="E12" s="15" t="s">
        <v>140</v>
      </c>
      <c r="F12" s="17"/>
      <c r="G12" s="3">
        <f>LEN(Tableau5[N°tiers])</f>
        <v>10</v>
      </c>
      <c r="H12" s="3"/>
      <c r="Q12" s="2"/>
    </row>
    <row r="13" spans="2:17" ht="16.5" x14ac:dyDescent="0.3">
      <c r="C13" s="3">
        <v>4011100008</v>
      </c>
      <c r="D13" s="3" t="s">
        <v>26</v>
      </c>
      <c r="E13" s="15" t="s">
        <v>140</v>
      </c>
      <c r="F13" s="17"/>
      <c r="G13" s="3">
        <f>LEN(Tableau5[N°tiers])</f>
        <v>10</v>
      </c>
      <c r="H13" s="3"/>
      <c r="I13" s="7"/>
      <c r="J13" s="7"/>
      <c r="K13" s="7"/>
      <c r="L13" s="7"/>
      <c r="M13" s="7"/>
      <c r="N13" s="7"/>
      <c r="O13" s="7"/>
      <c r="Q13" s="2"/>
    </row>
    <row r="14" spans="2:17" ht="16.5" x14ac:dyDescent="0.3">
      <c r="C14" s="3">
        <v>4011100009</v>
      </c>
      <c r="D14" s="3" t="s">
        <v>27</v>
      </c>
      <c r="E14" s="15" t="s">
        <v>140</v>
      </c>
      <c r="F14" s="7"/>
      <c r="G14" s="3">
        <f>LEN(Tableau5[N°tiers])</f>
        <v>10</v>
      </c>
      <c r="H14" s="3"/>
      <c r="Q14" s="2"/>
    </row>
    <row r="15" spans="2:17" ht="16.5" x14ac:dyDescent="0.3">
      <c r="C15" s="3">
        <v>4011100011</v>
      </c>
      <c r="D15" s="3" t="s">
        <v>28</v>
      </c>
      <c r="E15" s="15" t="s">
        <v>140</v>
      </c>
      <c r="F15" s="17"/>
      <c r="G15" s="3">
        <f>LEN(Tableau5[N°tiers])</f>
        <v>10</v>
      </c>
      <c r="H15" s="3"/>
      <c r="Q15" s="2"/>
    </row>
    <row r="16" spans="2:17" ht="16.5" x14ac:dyDescent="0.3">
      <c r="C16" s="3">
        <v>4011100013</v>
      </c>
      <c r="D16" s="3" t="s">
        <v>29</v>
      </c>
      <c r="E16" s="15" t="s">
        <v>140</v>
      </c>
      <c r="F16" s="17"/>
      <c r="G16" s="3">
        <f>LEN(Tableau5[N°tiers])</f>
        <v>10</v>
      </c>
      <c r="H16" s="3"/>
      <c r="Q16" s="2"/>
    </row>
    <row r="17" spans="3:17" ht="16.5" x14ac:dyDescent="0.3">
      <c r="C17" s="3">
        <v>4011100016</v>
      </c>
      <c r="D17" s="3" t="s">
        <v>30</v>
      </c>
      <c r="E17" s="15" t="s">
        <v>140</v>
      </c>
      <c r="F17" s="17"/>
      <c r="G17" s="3">
        <f>LEN(Tableau5[N°tiers])</f>
        <v>10</v>
      </c>
      <c r="H17" s="3"/>
      <c r="Q17" s="2"/>
    </row>
    <row r="18" spans="3:17" ht="16.5" x14ac:dyDescent="0.3">
      <c r="C18" s="3">
        <v>4011100017</v>
      </c>
      <c r="D18" s="3" t="s">
        <v>31</v>
      </c>
      <c r="E18" s="15" t="s">
        <v>140</v>
      </c>
      <c r="F18" s="17"/>
      <c r="G18" s="3">
        <f>LEN(Tableau5[N°tiers])</f>
        <v>10</v>
      </c>
      <c r="H18" s="3"/>
      <c r="Q18" s="2"/>
    </row>
    <row r="19" spans="3:17" ht="16.5" x14ac:dyDescent="0.3">
      <c r="C19" s="3">
        <v>4011100018</v>
      </c>
      <c r="D19" s="3" t="s">
        <v>32</v>
      </c>
      <c r="E19" s="15" t="s">
        <v>140</v>
      </c>
      <c r="F19" s="17"/>
      <c r="G19" s="3">
        <f>LEN(Tableau5[N°tiers])</f>
        <v>10</v>
      </c>
      <c r="H19" s="3"/>
      <c r="Q19" s="2"/>
    </row>
    <row r="20" spans="3:17" ht="16.5" x14ac:dyDescent="0.3">
      <c r="C20" s="3">
        <v>4011100024</v>
      </c>
      <c r="D20" s="3" t="s">
        <v>33</v>
      </c>
      <c r="E20" s="15" t="s">
        <v>140</v>
      </c>
      <c r="F20" s="17"/>
      <c r="G20" s="3">
        <f>LEN(Tableau5[N°tiers])</f>
        <v>10</v>
      </c>
      <c r="H20" s="3"/>
      <c r="Q20" s="2"/>
    </row>
    <row r="21" spans="3:17" ht="16.5" x14ac:dyDescent="0.3">
      <c r="C21" s="3">
        <v>4011100028</v>
      </c>
      <c r="D21" s="3" t="s">
        <v>34</v>
      </c>
      <c r="E21" s="15" t="s">
        <v>140</v>
      </c>
      <c r="F21" s="17"/>
      <c r="G21" s="3">
        <f>LEN(Tableau5[N°tiers])</f>
        <v>10</v>
      </c>
      <c r="H21" s="3"/>
      <c r="Q21" s="2"/>
    </row>
    <row r="22" spans="3:17" ht="16.5" x14ac:dyDescent="0.3">
      <c r="C22" s="3">
        <v>4011100034</v>
      </c>
      <c r="D22" s="3" t="s">
        <v>35</v>
      </c>
      <c r="E22" s="15" t="s">
        <v>140</v>
      </c>
      <c r="F22" s="17"/>
      <c r="G22" s="3">
        <f>LEN(Tableau5[N°tiers])</f>
        <v>10</v>
      </c>
      <c r="H22" s="3"/>
      <c r="Q22" s="2"/>
    </row>
    <row r="23" spans="3:17" ht="16.5" x14ac:dyDescent="0.3">
      <c r="C23" s="3">
        <v>4011100038</v>
      </c>
      <c r="D23" s="3" t="s">
        <v>36</v>
      </c>
      <c r="E23" s="15" t="s">
        <v>140</v>
      </c>
      <c r="F23" s="17"/>
      <c r="G23" s="3">
        <f>LEN(Tableau5[N°tiers])</f>
        <v>10</v>
      </c>
      <c r="H23" s="3"/>
      <c r="Q23" s="2"/>
    </row>
    <row r="24" spans="3:17" ht="16.5" x14ac:dyDescent="0.3">
      <c r="C24" s="3">
        <v>4011100039</v>
      </c>
      <c r="D24" s="3" t="s">
        <v>37</v>
      </c>
      <c r="E24" s="15" t="s">
        <v>140</v>
      </c>
      <c r="F24" s="17"/>
      <c r="G24" s="3">
        <f>LEN(Tableau5[N°tiers])</f>
        <v>10</v>
      </c>
      <c r="H24" s="3"/>
      <c r="Q24" s="2"/>
    </row>
    <row r="25" spans="3:17" ht="16.5" x14ac:dyDescent="0.3">
      <c r="C25" s="3">
        <v>4011100042</v>
      </c>
      <c r="D25" s="3" t="s">
        <v>38</v>
      </c>
      <c r="E25" s="15" t="s">
        <v>140</v>
      </c>
      <c r="F25" s="17"/>
      <c r="G25" s="3">
        <f>LEN(Tableau5[N°tiers])</f>
        <v>10</v>
      </c>
      <c r="H25" s="3"/>
      <c r="Q25" s="2"/>
    </row>
    <row r="26" spans="3:17" ht="16.5" x14ac:dyDescent="0.3">
      <c r="C26" s="3">
        <v>4011100045</v>
      </c>
      <c r="D26" s="3" t="s">
        <v>39</v>
      </c>
      <c r="E26" s="15" t="s">
        <v>140</v>
      </c>
      <c r="F26" s="17"/>
      <c r="G26" s="3">
        <f>LEN(Tableau5[N°tiers])</f>
        <v>10</v>
      </c>
      <c r="H26" s="3"/>
      <c r="Q26" s="2"/>
    </row>
    <row r="27" spans="3:17" ht="16.5" x14ac:dyDescent="0.3">
      <c r="C27" s="3">
        <v>4011100047</v>
      </c>
      <c r="D27" s="3" t="s">
        <v>40</v>
      </c>
      <c r="E27" s="15" t="s">
        <v>140</v>
      </c>
      <c r="F27" s="17"/>
      <c r="G27" s="3">
        <f>LEN(Tableau5[N°tiers])</f>
        <v>10</v>
      </c>
      <c r="H27" s="3"/>
      <c r="Q27" s="2"/>
    </row>
    <row r="28" spans="3:17" ht="16.5" x14ac:dyDescent="0.3">
      <c r="C28" s="3">
        <v>4011100049</v>
      </c>
      <c r="D28" s="3" t="s">
        <v>41</v>
      </c>
      <c r="E28" s="15" t="s">
        <v>140</v>
      </c>
      <c r="F28" s="17"/>
      <c r="G28" s="3">
        <f>LEN(Tableau5[N°tiers])</f>
        <v>10</v>
      </c>
      <c r="H28" s="3"/>
      <c r="Q28" s="2"/>
    </row>
    <row r="29" spans="3:17" ht="16.5" x14ac:dyDescent="0.3">
      <c r="C29" s="3">
        <v>4011100051</v>
      </c>
      <c r="D29" s="3" t="s">
        <v>42</v>
      </c>
      <c r="E29" s="15" t="s">
        <v>140</v>
      </c>
      <c r="F29" s="17"/>
      <c r="G29" s="3">
        <f>LEN(Tableau5[N°tiers])</f>
        <v>10</v>
      </c>
      <c r="H29" s="3"/>
      <c r="Q29" s="2"/>
    </row>
    <row r="30" spans="3:17" ht="16.5" x14ac:dyDescent="0.3">
      <c r="C30" s="3">
        <v>4011100052</v>
      </c>
      <c r="D30" s="3" t="s">
        <v>43</v>
      </c>
      <c r="E30" s="15" t="s">
        <v>140</v>
      </c>
      <c r="F30" s="17"/>
      <c r="G30" s="3">
        <f>LEN(Tableau5[N°tiers])</f>
        <v>10</v>
      </c>
      <c r="H30" s="3"/>
      <c r="Q30" s="2"/>
    </row>
    <row r="31" spans="3:17" ht="16.5" x14ac:dyDescent="0.3">
      <c r="C31" s="3">
        <v>4011100077</v>
      </c>
      <c r="D31" s="3" t="s">
        <v>44</v>
      </c>
      <c r="E31" s="15" t="s">
        <v>140</v>
      </c>
      <c r="F31" s="17"/>
      <c r="G31" s="3">
        <f>LEN(Tableau5[N°tiers])</f>
        <v>10</v>
      </c>
      <c r="H31" s="3"/>
      <c r="Q31" s="2"/>
    </row>
    <row r="32" spans="3:17" ht="16.5" x14ac:dyDescent="0.3">
      <c r="C32" s="3">
        <v>4011100100</v>
      </c>
      <c r="D32" s="3" t="s">
        <v>45</v>
      </c>
      <c r="E32" s="15" t="s">
        <v>140</v>
      </c>
      <c r="F32" s="17"/>
      <c r="G32" s="3">
        <f>LEN(Tableau5[N°tiers])</f>
        <v>10</v>
      </c>
      <c r="H32" s="3"/>
      <c r="Q32" s="2"/>
    </row>
    <row r="33" spans="3:17" ht="16.5" x14ac:dyDescent="0.3">
      <c r="C33" s="3">
        <v>4011100109</v>
      </c>
      <c r="D33" s="2" t="s">
        <v>46</v>
      </c>
      <c r="E33" s="15" t="s">
        <v>140</v>
      </c>
      <c r="F33" s="17"/>
      <c r="G33" s="3">
        <f>LEN(Tableau5[N°tiers])</f>
        <v>10</v>
      </c>
      <c r="H33" s="3"/>
      <c r="Q33" s="2"/>
    </row>
    <row r="34" spans="3:17" ht="16.5" x14ac:dyDescent="0.3">
      <c r="C34" s="3">
        <v>4011100114</v>
      </c>
      <c r="D34" s="2" t="s">
        <v>47</v>
      </c>
      <c r="E34" s="15" t="s">
        <v>140</v>
      </c>
      <c r="F34" s="17"/>
      <c r="G34" s="3">
        <f>LEN(Tableau5[N°tiers])</f>
        <v>10</v>
      </c>
      <c r="H34" s="3"/>
      <c r="Q34" s="2"/>
    </row>
    <row r="35" spans="3:17" ht="16.5" x14ac:dyDescent="0.3">
      <c r="C35" s="3">
        <v>4011100124</v>
      </c>
      <c r="D35" s="2" t="s">
        <v>48</v>
      </c>
      <c r="E35" s="15" t="s">
        <v>140</v>
      </c>
      <c r="F35" s="17"/>
      <c r="G35" s="3">
        <f>LEN(Tableau5[N°tiers])</f>
        <v>10</v>
      </c>
      <c r="H35" s="3"/>
      <c r="Q35" s="2"/>
    </row>
    <row r="36" spans="3:17" ht="16.5" x14ac:dyDescent="0.3">
      <c r="C36" s="3">
        <v>4011100133</v>
      </c>
      <c r="D36" s="2" t="s">
        <v>49</v>
      </c>
      <c r="E36" s="15" t="s">
        <v>140</v>
      </c>
      <c r="F36" s="17"/>
      <c r="G36" s="3">
        <f>LEN(Tableau5[N°tiers])</f>
        <v>10</v>
      </c>
      <c r="H36" s="3"/>
      <c r="Q36" s="2"/>
    </row>
    <row r="37" spans="3:17" ht="16.5" x14ac:dyDescent="0.3">
      <c r="C37" s="3">
        <v>4011100134</v>
      </c>
      <c r="D37" s="2" t="s">
        <v>50</v>
      </c>
      <c r="E37" s="15" t="s">
        <v>140</v>
      </c>
      <c r="F37" s="17"/>
      <c r="G37" s="3">
        <f>LEN(Tableau5[N°tiers])</f>
        <v>10</v>
      </c>
      <c r="H37" s="3"/>
      <c r="Q37" s="2"/>
    </row>
    <row r="38" spans="3:17" ht="16.5" x14ac:dyDescent="0.3">
      <c r="C38" s="3">
        <v>4011100139</v>
      </c>
      <c r="D38" s="2" t="s">
        <v>51</v>
      </c>
      <c r="E38" s="15" t="s">
        <v>140</v>
      </c>
      <c r="F38" s="17"/>
      <c r="G38" s="3">
        <f>LEN(Tableau5[N°tiers])</f>
        <v>10</v>
      </c>
      <c r="H38" s="3"/>
      <c r="Q38" s="2"/>
    </row>
    <row r="39" spans="3:17" ht="16.5" x14ac:dyDescent="0.3">
      <c r="C39" s="3">
        <v>4011100153</v>
      </c>
      <c r="D39" s="2" t="s">
        <v>52</v>
      </c>
      <c r="E39" s="15" t="s">
        <v>140</v>
      </c>
      <c r="F39" s="17"/>
      <c r="G39" s="3">
        <f>LEN(Tableau5[N°tiers])</f>
        <v>10</v>
      </c>
      <c r="H39" s="3"/>
      <c r="Q39" s="2"/>
    </row>
    <row r="40" spans="3:17" ht="16.5" x14ac:dyDescent="0.3">
      <c r="C40" s="3">
        <v>4011100154</v>
      </c>
      <c r="D40" s="2" t="s">
        <v>53</v>
      </c>
      <c r="E40" s="15" t="s">
        <v>140</v>
      </c>
      <c r="F40" s="17"/>
      <c r="G40" s="3">
        <f>LEN(Tableau5[N°tiers])</f>
        <v>10</v>
      </c>
      <c r="H40" s="3"/>
      <c r="Q40" s="2"/>
    </row>
    <row r="41" spans="3:17" ht="16.5" x14ac:dyDescent="0.3">
      <c r="C41" s="3">
        <v>4011100158</v>
      </c>
      <c r="D41" s="2" t="s">
        <v>54</v>
      </c>
      <c r="E41" s="15" t="s">
        <v>140</v>
      </c>
      <c r="F41" s="17"/>
      <c r="G41" s="3">
        <f>LEN(Tableau5[N°tiers])</f>
        <v>10</v>
      </c>
      <c r="H41" s="3"/>
      <c r="Q41" s="2"/>
    </row>
    <row r="42" spans="3:17" ht="16.5" x14ac:dyDescent="0.3">
      <c r="C42" s="3">
        <v>4011100161</v>
      </c>
      <c r="D42" s="2" t="s">
        <v>55</v>
      </c>
      <c r="E42" s="15" t="s">
        <v>140</v>
      </c>
      <c r="F42" s="17"/>
      <c r="G42" s="3">
        <f>LEN(Tableau5[N°tiers])</f>
        <v>10</v>
      </c>
      <c r="H42" s="3"/>
      <c r="Q42" s="2"/>
    </row>
    <row r="43" spans="3:17" ht="16.5" x14ac:dyDescent="0.3">
      <c r="C43" s="3">
        <v>4011100172</v>
      </c>
      <c r="D43" s="2" t="s">
        <v>56</v>
      </c>
      <c r="E43" s="15" t="s">
        <v>140</v>
      </c>
      <c r="F43" s="17"/>
      <c r="G43" s="3">
        <f>LEN(Tableau5[N°tiers])</f>
        <v>10</v>
      </c>
      <c r="H43" s="3"/>
      <c r="Q43" s="2"/>
    </row>
    <row r="44" spans="3:17" ht="16.5" x14ac:dyDescent="0.3">
      <c r="C44" s="3">
        <v>4011100175</v>
      </c>
      <c r="D44" s="2" t="s">
        <v>57</v>
      </c>
      <c r="E44" s="15" t="s">
        <v>140</v>
      </c>
      <c r="F44" s="17"/>
      <c r="G44" s="3">
        <f>LEN(Tableau5[N°tiers])</f>
        <v>10</v>
      </c>
      <c r="H44" s="3"/>
      <c r="Q44" s="2"/>
    </row>
    <row r="45" spans="3:17" ht="16.5" x14ac:dyDescent="0.3">
      <c r="C45" s="3">
        <v>4011100218</v>
      </c>
      <c r="D45" s="2" t="s">
        <v>58</v>
      </c>
      <c r="E45" s="15" t="s">
        <v>140</v>
      </c>
      <c r="F45" s="17"/>
      <c r="G45" s="3">
        <f>LEN(Tableau5[N°tiers])</f>
        <v>10</v>
      </c>
      <c r="H45" s="3"/>
      <c r="Q45" s="2"/>
    </row>
    <row r="46" spans="3:17" ht="16.5" x14ac:dyDescent="0.3">
      <c r="C46" s="3">
        <v>4011100359</v>
      </c>
      <c r="D46" s="2" t="s">
        <v>59</v>
      </c>
      <c r="E46" s="15" t="s">
        <v>140</v>
      </c>
      <c r="F46" s="17"/>
      <c r="G46" s="3">
        <f>LEN(Tableau5[N°tiers])</f>
        <v>10</v>
      </c>
      <c r="H46" s="3"/>
      <c r="Q46" s="2"/>
    </row>
    <row r="47" spans="3:17" ht="16.5" x14ac:dyDescent="0.3">
      <c r="C47" s="3">
        <v>4011100360</v>
      </c>
      <c r="D47" s="2" t="s">
        <v>60</v>
      </c>
      <c r="E47" s="15" t="s">
        <v>140</v>
      </c>
      <c r="F47" s="17"/>
      <c r="G47" s="3">
        <f>LEN(Tableau5[N°tiers])</f>
        <v>10</v>
      </c>
      <c r="H47" s="3"/>
      <c r="Q47" s="2"/>
    </row>
    <row r="48" spans="3:17" ht="16.5" x14ac:dyDescent="0.3">
      <c r="C48" s="3">
        <v>4011100365</v>
      </c>
      <c r="D48" s="2" t="s">
        <v>61</v>
      </c>
      <c r="E48" s="15" t="s">
        <v>140</v>
      </c>
      <c r="F48" s="17"/>
      <c r="G48" s="3">
        <f>LEN(Tableau5[N°tiers])</f>
        <v>10</v>
      </c>
      <c r="H48" s="3"/>
      <c r="Q48" s="2"/>
    </row>
    <row r="49" spans="3:17" ht="16.5" x14ac:dyDescent="0.3">
      <c r="C49" s="3">
        <v>40111004502</v>
      </c>
      <c r="D49" s="2" t="s">
        <v>62</v>
      </c>
      <c r="E49" s="15" t="s">
        <v>140</v>
      </c>
      <c r="F49" s="17"/>
      <c r="G49" s="3">
        <f>LEN(Tableau5[N°tiers])</f>
        <v>11</v>
      </c>
      <c r="H49" s="3"/>
      <c r="Q49" s="2"/>
    </row>
    <row r="50" spans="3:17" ht="16.5" x14ac:dyDescent="0.3">
      <c r="C50" s="3">
        <v>4011100467</v>
      </c>
      <c r="D50" s="2" t="s">
        <v>63</v>
      </c>
      <c r="E50" s="15" t="s">
        <v>140</v>
      </c>
      <c r="F50" s="17"/>
      <c r="G50" s="3">
        <f>LEN(Tableau5[N°tiers])</f>
        <v>10</v>
      </c>
      <c r="H50" s="3"/>
      <c r="Q50" s="2"/>
    </row>
    <row r="51" spans="3:17" ht="16.5" x14ac:dyDescent="0.3">
      <c r="C51" s="3">
        <v>4011100468</v>
      </c>
      <c r="D51" s="2" t="s">
        <v>64</v>
      </c>
      <c r="E51" s="15" t="s">
        <v>140</v>
      </c>
      <c r="F51" s="17"/>
      <c r="G51" s="3">
        <f>LEN(Tableau5[N°tiers])</f>
        <v>10</v>
      </c>
      <c r="H51" s="3"/>
      <c r="Q51" s="2"/>
    </row>
    <row r="52" spans="3:17" ht="16.5" x14ac:dyDescent="0.3">
      <c r="C52" s="3">
        <v>4011100479</v>
      </c>
      <c r="D52" s="2" t="s">
        <v>65</v>
      </c>
      <c r="E52" s="15" t="s">
        <v>140</v>
      </c>
      <c r="F52" s="17"/>
      <c r="G52" s="3">
        <f>LEN(Tableau5[N°tiers])</f>
        <v>10</v>
      </c>
      <c r="H52" s="3"/>
      <c r="Q52" s="2"/>
    </row>
    <row r="53" spans="3:17" ht="16.5" x14ac:dyDescent="0.3">
      <c r="C53" s="3">
        <v>4011100483</v>
      </c>
      <c r="D53" s="2" t="s">
        <v>66</v>
      </c>
      <c r="E53" s="15" t="s">
        <v>140</v>
      </c>
      <c r="F53" s="17"/>
      <c r="G53" s="3">
        <f>LEN(Tableau5[N°tiers])</f>
        <v>10</v>
      </c>
      <c r="H53" s="3"/>
      <c r="Q53" s="2"/>
    </row>
    <row r="54" spans="3:17" ht="16.5" x14ac:dyDescent="0.3">
      <c r="C54" s="3">
        <v>4011100484</v>
      </c>
      <c r="D54" s="2" t="s">
        <v>67</v>
      </c>
      <c r="E54" s="15" t="s">
        <v>140</v>
      </c>
      <c r="F54" s="17"/>
      <c r="G54" s="3">
        <f>LEN(Tableau5[N°tiers])</f>
        <v>10</v>
      </c>
      <c r="H54" s="3"/>
      <c r="Q54" s="2"/>
    </row>
    <row r="55" spans="3:17" ht="16.5" x14ac:dyDescent="0.3">
      <c r="C55" s="3">
        <v>4011100485</v>
      </c>
      <c r="D55" s="2" t="s">
        <v>68</v>
      </c>
      <c r="E55" s="15" t="s">
        <v>140</v>
      </c>
      <c r="F55" s="17"/>
      <c r="G55" s="3">
        <f>LEN(Tableau5[N°tiers])</f>
        <v>10</v>
      </c>
      <c r="H55" s="3"/>
      <c r="Q55" s="2"/>
    </row>
    <row r="56" spans="3:17" ht="16.5" x14ac:dyDescent="0.3">
      <c r="C56" s="3">
        <v>4011100486</v>
      </c>
      <c r="D56" s="2" t="s">
        <v>69</v>
      </c>
      <c r="E56" s="15" t="s">
        <v>140</v>
      </c>
      <c r="F56" s="17"/>
      <c r="G56" s="3">
        <f>LEN(Tableau5[N°tiers])</f>
        <v>10</v>
      </c>
      <c r="H56" s="3"/>
      <c r="Q56" s="2"/>
    </row>
    <row r="57" spans="3:17" ht="16.5" x14ac:dyDescent="0.3">
      <c r="C57" s="3">
        <v>4011100487</v>
      </c>
      <c r="D57" s="2" t="s">
        <v>70</v>
      </c>
      <c r="E57" s="15" t="s">
        <v>140</v>
      </c>
      <c r="F57" s="17"/>
      <c r="G57" s="3">
        <f>LEN(Tableau5[N°tiers])</f>
        <v>10</v>
      </c>
      <c r="H57" s="3"/>
      <c r="Q57" s="2"/>
    </row>
    <row r="58" spans="3:17" ht="16.5" x14ac:dyDescent="0.3">
      <c r="C58" s="3">
        <v>4011100493</v>
      </c>
      <c r="D58" s="2" t="s">
        <v>71</v>
      </c>
      <c r="E58" s="15" t="s">
        <v>140</v>
      </c>
      <c r="F58" s="17"/>
      <c r="G58" s="3">
        <f>LEN(Tableau5[N°tiers])</f>
        <v>10</v>
      </c>
      <c r="H58" s="3"/>
      <c r="Q58" s="2"/>
    </row>
    <row r="59" spans="3:17" ht="16.5" x14ac:dyDescent="0.3">
      <c r="C59" s="3">
        <v>4011100494</v>
      </c>
      <c r="D59" s="2" t="s">
        <v>72</v>
      </c>
      <c r="E59" s="15" t="s">
        <v>140</v>
      </c>
      <c r="F59" s="17"/>
      <c r="G59" s="3">
        <f>LEN(Tableau5[N°tiers])</f>
        <v>10</v>
      </c>
      <c r="H59" s="3"/>
      <c r="Q59" s="2"/>
    </row>
    <row r="60" spans="3:17" ht="16.5" x14ac:dyDescent="0.3">
      <c r="C60" s="3">
        <v>4011100495</v>
      </c>
      <c r="D60" s="2" t="s">
        <v>73</v>
      </c>
      <c r="E60" s="15" t="s">
        <v>140</v>
      </c>
      <c r="F60" s="17"/>
      <c r="G60" s="3">
        <f>LEN(Tableau5[N°tiers])</f>
        <v>10</v>
      </c>
      <c r="H60" s="3"/>
      <c r="Q60" s="2"/>
    </row>
    <row r="61" spans="3:17" ht="16.5" x14ac:dyDescent="0.3">
      <c r="C61" s="3">
        <v>4011100496</v>
      </c>
      <c r="D61" s="2" t="s">
        <v>74</v>
      </c>
      <c r="E61" s="15" t="s">
        <v>140</v>
      </c>
      <c r="F61" s="17"/>
      <c r="G61" s="3">
        <f>LEN(Tableau5[N°tiers])</f>
        <v>10</v>
      </c>
      <c r="H61" s="3"/>
      <c r="Q61" s="2"/>
    </row>
    <row r="62" spans="3:17" ht="16.5" x14ac:dyDescent="0.3">
      <c r="C62" s="3">
        <v>4011100498</v>
      </c>
      <c r="D62" s="2" t="s">
        <v>75</v>
      </c>
      <c r="E62" s="15" t="s">
        <v>140</v>
      </c>
      <c r="F62" s="17"/>
      <c r="G62" s="3">
        <f>LEN(Tableau5[N°tiers])</f>
        <v>10</v>
      </c>
      <c r="H62" s="3"/>
      <c r="Q62" s="2"/>
    </row>
    <row r="63" spans="3:17" ht="16.5" x14ac:dyDescent="0.3">
      <c r="C63" s="3">
        <v>4011100499</v>
      </c>
      <c r="D63" s="2" t="s">
        <v>76</v>
      </c>
      <c r="E63" s="15" t="s">
        <v>140</v>
      </c>
      <c r="F63" s="17"/>
      <c r="G63" s="3">
        <f>LEN(Tableau5[N°tiers])</f>
        <v>10</v>
      </c>
      <c r="H63" s="3"/>
      <c r="Q63" s="2"/>
    </row>
    <row r="64" spans="3:17" ht="16.5" x14ac:dyDescent="0.3">
      <c r="C64" s="3">
        <v>4011100500</v>
      </c>
      <c r="D64" s="2" t="s">
        <v>77</v>
      </c>
      <c r="E64" s="15" t="s">
        <v>140</v>
      </c>
      <c r="F64" s="17"/>
      <c r="G64" s="3">
        <f>LEN(Tableau5[N°tiers])</f>
        <v>10</v>
      </c>
      <c r="H64" s="3"/>
      <c r="Q64" s="2"/>
    </row>
    <row r="65" spans="3:17" ht="16.5" x14ac:dyDescent="0.3">
      <c r="C65" s="3">
        <v>4011100501</v>
      </c>
      <c r="D65" s="2" t="s">
        <v>78</v>
      </c>
      <c r="E65" s="15" t="s">
        <v>140</v>
      </c>
      <c r="F65" s="17"/>
      <c r="G65" s="3">
        <f>LEN(Tableau5[N°tiers])</f>
        <v>10</v>
      </c>
      <c r="H65" s="3"/>
      <c r="Q65" s="2"/>
    </row>
    <row r="66" spans="3:17" ht="16.5" x14ac:dyDescent="0.3">
      <c r="C66" s="3">
        <v>4011100503</v>
      </c>
      <c r="D66" s="2" t="s">
        <v>79</v>
      </c>
      <c r="E66" s="15" t="s">
        <v>140</v>
      </c>
      <c r="F66" s="17"/>
      <c r="G66" s="3">
        <f>LEN(Tableau5[N°tiers])</f>
        <v>10</v>
      </c>
      <c r="H66" s="3"/>
      <c r="Q66" s="2"/>
    </row>
    <row r="67" spans="3:17" ht="16.5" x14ac:dyDescent="0.3">
      <c r="C67" s="3">
        <v>4011100504</v>
      </c>
      <c r="D67" s="2" t="s">
        <v>80</v>
      </c>
      <c r="E67" s="15" t="s">
        <v>140</v>
      </c>
      <c r="F67" s="17"/>
      <c r="G67" s="3">
        <f>LEN(Tableau5[N°tiers])</f>
        <v>10</v>
      </c>
      <c r="H67" s="3"/>
      <c r="Q67" s="2"/>
    </row>
    <row r="68" spans="3:17" ht="16.5" x14ac:dyDescent="0.3">
      <c r="C68" s="3">
        <v>4011100505</v>
      </c>
      <c r="D68" s="2" t="s">
        <v>81</v>
      </c>
      <c r="E68" s="15" t="s">
        <v>140</v>
      </c>
      <c r="F68" s="17"/>
      <c r="G68" s="3">
        <f>LEN(Tableau5[N°tiers])</f>
        <v>10</v>
      </c>
      <c r="H68" s="3"/>
      <c r="Q68" s="2"/>
    </row>
    <row r="69" spans="3:17" ht="16.5" x14ac:dyDescent="0.3">
      <c r="C69" s="3">
        <v>4011100506</v>
      </c>
      <c r="D69" s="2" t="s">
        <v>82</v>
      </c>
      <c r="E69" s="15" t="s">
        <v>140</v>
      </c>
      <c r="F69" s="17"/>
      <c r="G69" s="3">
        <f>LEN(Tableau5[N°tiers])</f>
        <v>10</v>
      </c>
      <c r="H69" s="3"/>
      <c r="Q69" s="2"/>
    </row>
    <row r="70" spans="3:17" ht="16.5" x14ac:dyDescent="0.3">
      <c r="C70" s="3">
        <v>4011200001</v>
      </c>
      <c r="D70" s="2" t="s">
        <v>83</v>
      </c>
      <c r="E70" s="15" t="s">
        <v>141</v>
      </c>
      <c r="F70" s="17"/>
      <c r="G70" s="3">
        <f>LEN(Tableau5[N°tiers])</f>
        <v>10</v>
      </c>
      <c r="H70" s="3"/>
      <c r="Q70" s="2"/>
    </row>
    <row r="71" spans="3:17" ht="16.5" x14ac:dyDescent="0.3">
      <c r="C71" s="3">
        <v>4011200002</v>
      </c>
      <c r="D71" s="2" t="s">
        <v>84</v>
      </c>
      <c r="E71" s="15" t="s">
        <v>141</v>
      </c>
      <c r="F71" s="17"/>
      <c r="G71" s="3">
        <f>LEN(Tableau5[N°tiers])</f>
        <v>10</v>
      </c>
      <c r="H71" s="3"/>
      <c r="Q71" s="2"/>
    </row>
    <row r="72" spans="3:17" ht="16.5" x14ac:dyDescent="0.3">
      <c r="C72" s="3">
        <v>4011200003</v>
      </c>
      <c r="D72" s="2" t="s">
        <v>85</v>
      </c>
      <c r="E72" s="15" t="s">
        <v>141</v>
      </c>
      <c r="F72" s="17"/>
      <c r="G72" s="3">
        <f>LEN(Tableau5[N°tiers])</f>
        <v>10</v>
      </c>
      <c r="H72" s="3"/>
      <c r="Q72" s="2"/>
    </row>
    <row r="73" spans="3:17" ht="16.5" x14ac:dyDescent="0.3">
      <c r="C73" s="3">
        <v>4011200004</v>
      </c>
      <c r="D73" s="2" t="s">
        <v>86</v>
      </c>
      <c r="E73" s="15" t="s">
        <v>141</v>
      </c>
      <c r="F73" s="17"/>
      <c r="G73" s="3">
        <f>LEN(Tableau5[N°tiers])</f>
        <v>10</v>
      </c>
      <c r="H73" s="3"/>
      <c r="Q73" s="2"/>
    </row>
    <row r="74" spans="3:17" ht="16.5" x14ac:dyDescent="0.3">
      <c r="C74" s="3">
        <v>4011200007</v>
      </c>
      <c r="D74" s="2" t="s">
        <v>87</v>
      </c>
      <c r="E74" s="15" t="s">
        <v>141</v>
      </c>
      <c r="F74" s="17"/>
      <c r="G74" s="3">
        <f>LEN(Tableau5[N°tiers])</f>
        <v>10</v>
      </c>
      <c r="H74" s="3"/>
      <c r="Q74" s="2"/>
    </row>
    <row r="75" spans="3:17" ht="16.5" x14ac:dyDescent="0.3">
      <c r="C75" s="3">
        <v>4011200009</v>
      </c>
      <c r="D75" s="2" t="s">
        <v>88</v>
      </c>
      <c r="E75" s="15" t="s">
        <v>141</v>
      </c>
      <c r="F75" s="17"/>
      <c r="G75" s="3">
        <f>LEN(Tableau5[N°tiers])</f>
        <v>10</v>
      </c>
      <c r="H75" s="3"/>
      <c r="Q75" s="2"/>
    </row>
    <row r="76" spans="3:17" ht="16.5" x14ac:dyDescent="0.3">
      <c r="C76" s="3">
        <v>4011200013</v>
      </c>
      <c r="D76" s="2" t="s">
        <v>89</v>
      </c>
      <c r="E76" s="15" t="s">
        <v>141</v>
      </c>
      <c r="F76" s="17"/>
      <c r="G76" s="3">
        <f>LEN(Tableau5[N°tiers])</f>
        <v>10</v>
      </c>
      <c r="H76" s="3"/>
      <c r="Q76" s="2"/>
    </row>
    <row r="77" spans="3:17" ht="16.5" x14ac:dyDescent="0.3">
      <c r="C77" s="3">
        <v>4011200015</v>
      </c>
      <c r="D77" s="2" t="s">
        <v>90</v>
      </c>
      <c r="E77" s="15" t="s">
        <v>141</v>
      </c>
      <c r="F77" s="17"/>
      <c r="G77" s="3">
        <f>LEN(Tableau5[N°tiers])</f>
        <v>10</v>
      </c>
      <c r="H77" s="3"/>
      <c r="Q77" s="2"/>
    </row>
    <row r="78" spans="3:17" ht="16.5" x14ac:dyDescent="0.3">
      <c r="C78" s="3">
        <v>4011200020</v>
      </c>
      <c r="D78" s="2" t="s">
        <v>91</v>
      </c>
      <c r="E78" s="15" t="s">
        <v>141</v>
      </c>
      <c r="F78" s="17"/>
      <c r="G78" s="3">
        <f>LEN(Tableau5[N°tiers])</f>
        <v>10</v>
      </c>
      <c r="H78" s="3"/>
      <c r="Q78" s="2"/>
    </row>
    <row r="79" spans="3:17" ht="16.5" x14ac:dyDescent="0.3">
      <c r="C79" s="3">
        <v>4011200032</v>
      </c>
      <c r="D79" s="2" t="s">
        <v>92</v>
      </c>
      <c r="E79" s="15" t="s">
        <v>141</v>
      </c>
      <c r="F79" s="17"/>
      <c r="G79" s="3">
        <f>LEN(Tableau5[N°tiers])</f>
        <v>10</v>
      </c>
      <c r="H79" s="3"/>
      <c r="Q79" s="2"/>
    </row>
    <row r="80" spans="3:17" ht="16.5" x14ac:dyDescent="0.3">
      <c r="C80" s="3">
        <v>4011200043</v>
      </c>
      <c r="D80" s="2" t="s">
        <v>93</v>
      </c>
      <c r="E80" s="15" t="s">
        <v>141</v>
      </c>
      <c r="F80" s="17"/>
      <c r="G80" s="3">
        <f>LEN(Tableau5[N°tiers])</f>
        <v>10</v>
      </c>
      <c r="H80" s="3"/>
      <c r="Q80" s="2"/>
    </row>
    <row r="81" spans="3:17" ht="16.5" x14ac:dyDescent="0.3">
      <c r="C81" s="3">
        <v>4011200062</v>
      </c>
      <c r="D81" s="2" t="s">
        <v>94</v>
      </c>
      <c r="E81" s="15" t="s">
        <v>141</v>
      </c>
      <c r="F81" s="17"/>
      <c r="G81" s="3">
        <f>LEN(Tableau5[N°tiers])</f>
        <v>10</v>
      </c>
      <c r="H81" s="3"/>
      <c r="Q81" s="2"/>
    </row>
    <row r="82" spans="3:17" ht="16.5" x14ac:dyDescent="0.3">
      <c r="C82" s="3">
        <v>4011200069</v>
      </c>
      <c r="D82" s="2" t="s">
        <v>95</v>
      </c>
      <c r="E82" s="15" t="s">
        <v>141</v>
      </c>
      <c r="F82" s="17"/>
      <c r="G82" s="3">
        <f>LEN(Tableau5[N°tiers])</f>
        <v>10</v>
      </c>
      <c r="H82" s="3"/>
      <c r="Q82" s="2"/>
    </row>
    <row r="83" spans="3:17" ht="16.5" x14ac:dyDescent="0.3">
      <c r="C83" s="3">
        <v>4011200081</v>
      </c>
      <c r="D83" s="2" t="s">
        <v>96</v>
      </c>
      <c r="E83" s="15" t="s">
        <v>141</v>
      </c>
      <c r="F83" s="17"/>
      <c r="G83" s="3">
        <f>LEN(Tableau5[N°tiers])</f>
        <v>10</v>
      </c>
      <c r="H83" s="3"/>
      <c r="Q83" s="2"/>
    </row>
    <row r="84" spans="3:17" ht="16.5" x14ac:dyDescent="0.3">
      <c r="C84" s="3">
        <v>4011200417</v>
      </c>
      <c r="D84" s="2" t="s">
        <v>97</v>
      </c>
      <c r="E84" s="15" t="s">
        <v>141</v>
      </c>
      <c r="F84" s="17"/>
      <c r="G84" s="3">
        <f>LEN(Tableau5[N°tiers])</f>
        <v>10</v>
      </c>
      <c r="H84" s="3"/>
      <c r="Q84" s="2"/>
    </row>
    <row r="85" spans="3:17" ht="16.5" x14ac:dyDescent="0.3">
      <c r="C85" s="3">
        <v>4011200418</v>
      </c>
      <c r="D85" s="2" t="s">
        <v>98</v>
      </c>
      <c r="E85" s="15" t="s">
        <v>141</v>
      </c>
      <c r="F85" s="17"/>
      <c r="G85" s="3">
        <f>LEN(Tableau5[N°tiers])</f>
        <v>10</v>
      </c>
      <c r="H85" s="3"/>
      <c r="Q85" s="2"/>
    </row>
    <row r="86" spans="3:17" ht="16.5" x14ac:dyDescent="0.3">
      <c r="C86" s="3">
        <v>4011200420</v>
      </c>
      <c r="D86" s="2" t="s">
        <v>99</v>
      </c>
      <c r="E86" s="15" t="s">
        <v>141</v>
      </c>
      <c r="F86" s="17"/>
      <c r="G86" s="3">
        <f>LEN(Tableau5[N°tiers])</f>
        <v>10</v>
      </c>
      <c r="H86" s="3"/>
      <c r="Q86" s="2"/>
    </row>
    <row r="87" spans="3:17" ht="16.5" x14ac:dyDescent="0.3">
      <c r="C87" s="3">
        <v>4011200422</v>
      </c>
      <c r="D87" s="2" t="s">
        <v>100</v>
      </c>
      <c r="E87" s="15" t="s">
        <v>141</v>
      </c>
      <c r="F87" s="17"/>
      <c r="G87" s="3">
        <f>LEN(Tableau5[N°tiers])</f>
        <v>10</v>
      </c>
      <c r="H87" s="3"/>
      <c r="Q87" s="2"/>
    </row>
    <row r="88" spans="3:17" ht="16.5" x14ac:dyDescent="0.3">
      <c r="C88" s="3">
        <v>4011200424</v>
      </c>
      <c r="D88" s="2" t="s">
        <v>101</v>
      </c>
      <c r="E88" s="15" t="s">
        <v>141</v>
      </c>
      <c r="F88" s="17"/>
      <c r="G88" s="3">
        <f>LEN(Tableau5[N°tiers])</f>
        <v>10</v>
      </c>
      <c r="H88" s="3"/>
      <c r="Q88" s="2"/>
    </row>
    <row r="89" spans="3:17" ht="16.5" x14ac:dyDescent="0.3">
      <c r="C89" s="3">
        <v>4011200432</v>
      </c>
      <c r="D89" s="2" t="s">
        <v>102</v>
      </c>
      <c r="E89" s="15" t="s">
        <v>141</v>
      </c>
      <c r="F89" s="17"/>
      <c r="G89" s="3">
        <f>LEN(Tableau5[N°tiers])</f>
        <v>10</v>
      </c>
      <c r="H89" s="3"/>
      <c r="Q89" s="2"/>
    </row>
    <row r="90" spans="3:17" ht="16.5" x14ac:dyDescent="0.3">
      <c r="C90" s="3">
        <v>4011200435</v>
      </c>
      <c r="D90" s="2" t="s">
        <v>103</v>
      </c>
      <c r="E90" s="15" t="s">
        <v>141</v>
      </c>
      <c r="F90" s="17"/>
      <c r="G90" s="3">
        <f>LEN(Tableau5[N°tiers])</f>
        <v>10</v>
      </c>
      <c r="H90" s="3"/>
      <c r="Q90" s="2"/>
    </row>
    <row r="91" spans="3:17" ht="16.5" x14ac:dyDescent="0.3">
      <c r="C91" s="3">
        <v>4011200436</v>
      </c>
      <c r="D91" s="2" t="s">
        <v>104</v>
      </c>
      <c r="E91" s="15" t="s">
        <v>141</v>
      </c>
      <c r="F91" s="17"/>
      <c r="G91" s="3">
        <f>LEN(Tableau5[N°tiers])</f>
        <v>10</v>
      </c>
      <c r="H91" s="3"/>
      <c r="Q91" s="2"/>
    </row>
    <row r="92" spans="3:17" ht="16.5" x14ac:dyDescent="0.3">
      <c r="C92" s="3">
        <v>4011200437</v>
      </c>
      <c r="D92" s="2" t="s">
        <v>105</v>
      </c>
      <c r="E92" s="15" t="s">
        <v>141</v>
      </c>
      <c r="F92" s="17"/>
      <c r="G92" s="3">
        <f>LEN(Tableau5[N°tiers])</f>
        <v>10</v>
      </c>
      <c r="H92" s="3"/>
      <c r="Q92" s="2"/>
    </row>
    <row r="93" spans="3:17" ht="16.5" x14ac:dyDescent="0.3">
      <c r="C93" s="3">
        <v>4011200440</v>
      </c>
      <c r="D93" s="2" t="s">
        <v>106</v>
      </c>
      <c r="E93" s="15" t="s">
        <v>141</v>
      </c>
      <c r="F93" s="17"/>
      <c r="G93" s="3">
        <f>LEN(Tableau5[N°tiers])</f>
        <v>10</v>
      </c>
      <c r="H93" s="3"/>
      <c r="Q93" s="2"/>
    </row>
    <row r="94" spans="3:17" ht="16.5" x14ac:dyDescent="0.3">
      <c r="C94" s="3">
        <v>4011200442</v>
      </c>
      <c r="D94" s="2" t="s">
        <v>107</v>
      </c>
      <c r="E94" s="15" t="s">
        <v>141</v>
      </c>
      <c r="F94" s="17"/>
      <c r="G94" s="3">
        <f>LEN(Tableau5[N°tiers])</f>
        <v>10</v>
      </c>
      <c r="H94" s="3"/>
      <c r="Q94" s="2"/>
    </row>
    <row r="95" spans="3:17" ht="16.5" x14ac:dyDescent="0.3">
      <c r="C95" s="3">
        <v>4011200446</v>
      </c>
      <c r="D95" s="2" t="s">
        <v>108</v>
      </c>
      <c r="E95" s="15" t="s">
        <v>141</v>
      </c>
      <c r="F95" s="17"/>
      <c r="G95" s="3">
        <f>LEN(Tableau5[N°tiers])</f>
        <v>10</v>
      </c>
      <c r="H95" s="3"/>
      <c r="Q95" s="2"/>
    </row>
    <row r="96" spans="3:17" ht="16.5" x14ac:dyDescent="0.3">
      <c r="C96" s="3">
        <v>4011200447</v>
      </c>
      <c r="D96" s="2" t="s">
        <v>109</v>
      </c>
      <c r="E96" s="15" t="s">
        <v>141</v>
      </c>
      <c r="F96" s="17"/>
      <c r="G96" s="3">
        <f>LEN(Tableau5[N°tiers])</f>
        <v>10</v>
      </c>
      <c r="H96" s="3"/>
      <c r="Q96" s="2"/>
    </row>
    <row r="97" spans="3:17" ht="16.5" x14ac:dyDescent="0.3">
      <c r="C97" s="3">
        <v>4011200452</v>
      </c>
      <c r="D97" s="2" t="s">
        <v>110</v>
      </c>
      <c r="E97" s="15" t="s">
        <v>141</v>
      </c>
      <c r="F97" s="17"/>
      <c r="G97" s="3">
        <f>LEN(Tableau5[N°tiers])</f>
        <v>10</v>
      </c>
      <c r="H97" s="3"/>
      <c r="Q97" s="2"/>
    </row>
    <row r="98" spans="3:17" ht="16.5" x14ac:dyDescent="0.3">
      <c r="C98" s="3">
        <v>4011200453</v>
      </c>
      <c r="D98" s="2" t="s">
        <v>111</v>
      </c>
      <c r="E98" s="15" t="s">
        <v>141</v>
      </c>
      <c r="F98" s="17"/>
      <c r="G98" s="3">
        <f>LEN(Tableau5[N°tiers])</f>
        <v>10</v>
      </c>
      <c r="H98" s="3"/>
      <c r="Q98" s="2"/>
    </row>
    <row r="99" spans="3:17" ht="16.5" x14ac:dyDescent="0.3">
      <c r="C99" s="3">
        <v>4011200462</v>
      </c>
      <c r="D99" s="2" t="s">
        <v>112</v>
      </c>
      <c r="E99" s="15" t="s">
        <v>141</v>
      </c>
      <c r="F99" s="17"/>
      <c r="G99" s="3">
        <f>LEN(Tableau5[N°tiers])</f>
        <v>10</v>
      </c>
      <c r="H99" s="3"/>
      <c r="Q99" s="2"/>
    </row>
    <row r="100" spans="3:17" ht="16.5" x14ac:dyDescent="0.3">
      <c r="C100" s="3">
        <v>4011200463</v>
      </c>
      <c r="D100" s="2" t="s">
        <v>113</v>
      </c>
      <c r="E100" s="15" t="s">
        <v>141</v>
      </c>
      <c r="F100" s="17"/>
      <c r="G100" s="3">
        <f>LEN(Tableau5[N°tiers])</f>
        <v>10</v>
      </c>
      <c r="H100" s="3"/>
      <c r="Q100" s="2"/>
    </row>
    <row r="101" spans="3:17" ht="16.5" x14ac:dyDescent="0.3">
      <c r="C101" s="3">
        <v>4011200465</v>
      </c>
      <c r="D101" s="2" t="s">
        <v>114</v>
      </c>
      <c r="E101" s="15" t="s">
        <v>141</v>
      </c>
      <c r="F101" s="17"/>
      <c r="G101" s="3">
        <f>LEN(Tableau5[N°tiers])</f>
        <v>10</v>
      </c>
      <c r="H101" s="3"/>
      <c r="Q101" s="2"/>
    </row>
    <row r="102" spans="3:17" ht="16.5" x14ac:dyDescent="0.3">
      <c r="C102" s="3">
        <v>4011200469</v>
      </c>
      <c r="D102" s="2" t="s">
        <v>115</v>
      </c>
      <c r="E102" s="15" t="s">
        <v>141</v>
      </c>
      <c r="F102" s="17"/>
      <c r="G102" s="3">
        <f>LEN(Tableau5[N°tiers])</f>
        <v>10</v>
      </c>
      <c r="H102" s="3"/>
      <c r="Q102" s="2"/>
    </row>
    <row r="103" spans="3:17" ht="16.5" x14ac:dyDescent="0.3">
      <c r="C103" s="3">
        <v>4011200470</v>
      </c>
      <c r="D103" s="2" t="s">
        <v>116</v>
      </c>
      <c r="E103" s="15" t="s">
        <v>141</v>
      </c>
      <c r="F103" s="17"/>
      <c r="G103" s="3">
        <f>LEN(Tableau5[N°tiers])</f>
        <v>10</v>
      </c>
      <c r="H103" s="3"/>
      <c r="Q103" s="2"/>
    </row>
    <row r="104" spans="3:17" ht="16.5" x14ac:dyDescent="0.3">
      <c r="C104" s="3">
        <v>4011200476</v>
      </c>
      <c r="D104" s="2" t="s">
        <v>117</v>
      </c>
      <c r="E104" s="15" t="s">
        <v>141</v>
      </c>
      <c r="F104" s="17"/>
      <c r="G104" s="3">
        <f>LEN(Tableau5[N°tiers])</f>
        <v>10</v>
      </c>
      <c r="H104" s="3"/>
      <c r="Q104" s="2"/>
    </row>
    <row r="105" spans="3:17" ht="16.5" x14ac:dyDescent="0.3">
      <c r="C105" s="3">
        <v>4011200479</v>
      </c>
      <c r="D105" s="2" t="s">
        <v>118</v>
      </c>
      <c r="E105" s="15" t="s">
        <v>141</v>
      </c>
      <c r="F105" s="17"/>
      <c r="G105" s="3">
        <f>LEN(Tableau5[N°tiers])</f>
        <v>10</v>
      </c>
      <c r="H105" s="3"/>
      <c r="Q105" s="2"/>
    </row>
    <row r="106" spans="3:17" ht="16.5" x14ac:dyDescent="0.3">
      <c r="C106" s="3">
        <v>4011200480</v>
      </c>
      <c r="D106" s="2" t="s">
        <v>119</v>
      </c>
      <c r="E106" s="15" t="s">
        <v>141</v>
      </c>
      <c r="F106" s="17"/>
      <c r="G106" s="3">
        <f>LEN(Tableau5[N°tiers])</f>
        <v>10</v>
      </c>
      <c r="H106" s="3"/>
      <c r="Q106" s="2"/>
    </row>
    <row r="107" spans="3:17" ht="16.5" x14ac:dyDescent="0.3">
      <c r="C107" s="3">
        <v>4011200490</v>
      </c>
      <c r="D107" s="2" t="s">
        <v>120</v>
      </c>
      <c r="E107" s="15" t="s">
        <v>141</v>
      </c>
      <c r="F107" s="17"/>
      <c r="G107" s="3">
        <f>LEN(Tableau5[N°tiers])</f>
        <v>10</v>
      </c>
      <c r="H107" s="3"/>
      <c r="Q107" s="2"/>
    </row>
    <row r="108" spans="3:17" ht="16.5" x14ac:dyDescent="0.3">
      <c r="C108" s="3">
        <v>4011200491</v>
      </c>
      <c r="D108" s="2" t="s">
        <v>121</v>
      </c>
      <c r="E108" s="15" t="s">
        <v>141</v>
      </c>
      <c r="F108" s="17"/>
      <c r="G108" s="3">
        <f>LEN(Tableau5[N°tiers])</f>
        <v>10</v>
      </c>
      <c r="H108" s="3"/>
      <c r="Q108" s="2"/>
    </row>
    <row r="109" spans="3:17" ht="16.5" x14ac:dyDescent="0.3">
      <c r="C109" s="3">
        <v>4011200492</v>
      </c>
      <c r="D109" s="2" t="s">
        <v>122</v>
      </c>
      <c r="E109" s="15" t="s">
        <v>141</v>
      </c>
      <c r="F109" s="17"/>
      <c r="G109" s="3">
        <f>LEN(Tableau5[N°tiers])</f>
        <v>10</v>
      </c>
      <c r="H109" s="3"/>
      <c r="Q109" s="2"/>
    </row>
    <row r="110" spans="3:17" ht="16.5" x14ac:dyDescent="0.3">
      <c r="C110" s="3">
        <v>4011200494</v>
      </c>
      <c r="D110" s="2" t="s">
        <v>123</v>
      </c>
      <c r="E110" s="15" t="s">
        <v>141</v>
      </c>
      <c r="F110" s="17"/>
      <c r="G110" s="3">
        <f>LEN(Tableau5[N°tiers])</f>
        <v>10</v>
      </c>
      <c r="H110" s="3"/>
      <c r="Q110" s="2"/>
    </row>
    <row r="111" spans="3:17" ht="16.5" x14ac:dyDescent="0.3">
      <c r="C111" s="3">
        <v>4011200496</v>
      </c>
      <c r="D111" s="2" t="s">
        <v>124</v>
      </c>
      <c r="E111" s="15" t="s">
        <v>141</v>
      </c>
      <c r="F111" s="17"/>
      <c r="G111" s="3">
        <f>LEN(Tableau5[N°tiers])</f>
        <v>10</v>
      </c>
      <c r="H111" s="3"/>
      <c r="Q111" s="2"/>
    </row>
    <row r="112" spans="3:17" ht="16.5" x14ac:dyDescent="0.3">
      <c r="C112" s="3">
        <v>4011200497</v>
      </c>
      <c r="D112" s="2" t="s">
        <v>125</v>
      </c>
      <c r="E112" s="15" t="s">
        <v>141</v>
      </c>
      <c r="F112" s="17"/>
      <c r="G112" s="3">
        <f>LEN(Tableau5[N°tiers])</f>
        <v>10</v>
      </c>
      <c r="H112" s="3"/>
      <c r="Q112" s="2"/>
    </row>
    <row r="113" spans="3:17" ht="16.5" x14ac:dyDescent="0.3">
      <c r="C113" s="3">
        <v>4011200498</v>
      </c>
      <c r="D113" s="2" t="s">
        <v>126</v>
      </c>
      <c r="E113" s="15" t="s">
        <v>141</v>
      </c>
      <c r="F113" s="17"/>
      <c r="G113" s="3">
        <f>LEN(Tableau5[N°tiers])</f>
        <v>10</v>
      </c>
      <c r="H113" s="3"/>
      <c r="Q113" s="2"/>
    </row>
    <row r="114" spans="3:17" ht="16.5" x14ac:dyDescent="0.3">
      <c r="C114" s="3">
        <v>4011200499</v>
      </c>
      <c r="D114" s="2" t="s">
        <v>127</v>
      </c>
      <c r="E114" s="15" t="s">
        <v>141</v>
      </c>
      <c r="F114" s="17"/>
      <c r="G114" s="3">
        <f>LEN(Tableau5[N°tiers])</f>
        <v>10</v>
      </c>
      <c r="H114" s="3"/>
      <c r="Q114" s="2"/>
    </row>
    <row r="115" spans="3:17" ht="16.5" x14ac:dyDescent="0.3">
      <c r="C115" s="3">
        <v>4011200501</v>
      </c>
      <c r="D115" s="2" t="s">
        <v>128</v>
      </c>
      <c r="E115" s="15" t="s">
        <v>141</v>
      </c>
      <c r="F115" s="17"/>
      <c r="G115" s="3">
        <f>LEN(Tableau5[N°tiers])</f>
        <v>10</v>
      </c>
      <c r="H115" s="3"/>
      <c r="Q115" s="2"/>
    </row>
    <row r="116" spans="3:17" ht="16.5" x14ac:dyDescent="0.3">
      <c r="C116" s="3">
        <v>4011200504</v>
      </c>
      <c r="D116" s="2" t="s">
        <v>129</v>
      </c>
      <c r="E116" s="15" t="s">
        <v>141</v>
      </c>
      <c r="F116" s="17"/>
      <c r="G116" s="3">
        <f>LEN(Tableau5[N°tiers])</f>
        <v>10</v>
      </c>
      <c r="H116" s="3"/>
      <c r="Q116" s="2"/>
    </row>
    <row r="117" spans="3:17" ht="16.5" x14ac:dyDescent="0.3">
      <c r="C117" s="3">
        <v>401120427</v>
      </c>
      <c r="D117" s="2" t="s">
        <v>130</v>
      </c>
      <c r="E117" s="15" t="s">
        <v>141</v>
      </c>
      <c r="F117" s="17"/>
      <c r="G117" s="3">
        <f>LEN(Tableau5[N°tiers])</f>
        <v>9</v>
      </c>
      <c r="H117" s="3"/>
      <c r="Q117" s="2"/>
    </row>
    <row r="118" spans="3:17" ht="16.5" x14ac:dyDescent="0.3">
      <c r="C118" s="3">
        <v>401120434</v>
      </c>
      <c r="D118" s="2" t="s">
        <v>131</v>
      </c>
      <c r="E118" s="15" t="s">
        <v>141</v>
      </c>
      <c r="F118" s="17"/>
      <c r="G118" s="3">
        <f>LEN(Tableau5[N°tiers])</f>
        <v>9</v>
      </c>
      <c r="H118" s="3"/>
      <c r="Q118" s="2"/>
    </row>
    <row r="119" spans="3:17" ht="16.5" x14ac:dyDescent="0.3">
      <c r="C119" s="3">
        <v>4011300001</v>
      </c>
      <c r="D119" s="2" t="s">
        <v>132</v>
      </c>
      <c r="E119" s="15" t="s">
        <v>142</v>
      </c>
      <c r="F119" s="17"/>
      <c r="G119" s="3">
        <f>LEN(Tableau5[N°tiers])</f>
        <v>10</v>
      </c>
      <c r="H119" s="3"/>
      <c r="Q119" s="2"/>
    </row>
    <row r="120" spans="3:17" x14ac:dyDescent="0.25">
      <c r="Q120" s="2"/>
    </row>
    <row r="121" spans="3:17" x14ac:dyDescent="0.25">
      <c r="Q121" s="2"/>
    </row>
  </sheetData>
  <pageMargins left="0" right="0" top="0" bottom="0" header="0" footer="0"/>
  <pageSetup paperSize="9" scale="10" orientation="landscape" r:id="rId1"/>
  <headerFooter scaleWithDoc="0" alignWithMargins="0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Calculs!#REF!</xm:f>
          </x14:formula1>
          <xm:sqref>E7:E119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P85"/>
  <sheetViews>
    <sheetView zoomScale="85" zoomScaleNormal="85" workbookViewId="0">
      <selection activeCell="A9" sqref="A9"/>
    </sheetView>
  </sheetViews>
  <sheetFormatPr baseColWidth="10" defaultRowHeight="15" x14ac:dyDescent="0.25"/>
  <cols>
    <col min="1" max="1" width="21" customWidth="1"/>
    <col min="2" max="2" width="23.140625" customWidth="1"/>
    <col min="3" max="3" width="15.85546875" customWidth="1"/>
    <col min="4" max="4" width="12.5703125" bestFit="1" customWidth="1"/>
    <col min="9" max="9" width="15.7109375" customWidth="1"/>
    <col min="10" max="10" width="17" customWidth="1"/>
    <col min="11" max="11" width="14.28515625" customWidth="1"/>
    <col min="12" max="12" width="14" bestFit="1" customWidth="1"/>
    <col min="13" max="13" width="16.42578125" customWidth="1"/>
    <col min="15" max="15" width="12.28515625" customWidth="1"/>
  </cols>
  <sheetData>
    <row r="1" spans="1:16" x14ac:dyDescent="0.25">
      <c r="A1" t="s">
        <v>137</v>
      </c>
      <c r="B1" t="s">
        <v>139</v>
      </c>
    </row>
    <row r="2" spans="1:16" x14ac:dyDescent="0.25">
      <c r="A2" s="27">
        <v>182272729</v>
      </c>
      <c r="B2" s="26">
        <v>115</v>
      </c>
      <c r="C2" t="str">
        <f>GETPIVOTDATA("Nombre de N°Facture",$A$1)&amp;" Fac."</f>
        <v>115 Fac.</v>
      </c>
    </row>
    <row r="4" spans="1:16" x14ac:dyDescent="0.25">
      <c r="A4" t="s">
        <v>138</v>
      </c>
    </row>
    <row r="5" spans="1:16" x14ac:dyDescent="0.25">
      <c r="A5" s="27">
        <v>51311311</v>
      </c>
    </row>
    <row r="8" spans="1:16" x14ac:dyDescent="0.25">
      <c r="A8" s="26"/>
    </row>
    <row r="9" spans="1:16" x14ac:dyDescent="0.25">
      <c r="A9" s="30" t="s">
        <v>9</v>
      </c>
      <c r="B9" t="s">
        <v>171</v>
      </c>
      <c r="H9" s="52" t="s">
        <v>188</v>
      </c>
      <c r="I9" s="53" t="s">
        <v>179</v>
      </c>
      <c r="J9" s="53" t="s">
        <v>180</v>
      </c>
      <c r="K9" s="54" t="s">
        <v>183</v>
      </c>
      <c r="L9" s="54" t="s">
        <v>182</v>
      </c>
      <c r="M9" s="55" t="s">
        <v>184</v>
      </c>
      <c r="N9" s="56" t="s">
        <v>185</v>
      </c>
      <c r="O9" s="57" t="s">
        <v>181</v>
      </c>
      <c r="P9" s="48" t="s">
        <v>192</v>
      </c>
    </row>
    <row r="10" spans="1:16" x14ac:dyDescent="0.25">
      <c r="H10" s="50">
        <f>EDATE(DateRef,-5)</f>
        <v>45627</v>
      </c>
      <c r="I10" s="45">
        <f>SUMIFS(DetteFrs[Net à Payer],DetteFrs[Date Saisie],"&gt;="&amp;H10,DetteFrs[Date Saisie],"&lt;="&amp;H10+O10-1)</f>
        <v>0</v>
      </c>
      <c r="J10" s="45">
        <f>I10</f>
        <v>0</v>
      </c>
      <c r="K10" s="46">
        <f>SUMIFS(ReglFrs[Montant Payé],ReglFrs[Date règlement],"&gt;="&amp;H10,ReglFrs[Date règlement],"&lt;="&amp;H10+O10-1)</f>
        <v>0</v>
      </c>
      <c r="L10" s="46">
        <f>+K10</f>
        <v>0</v>
      </c>
      <c r="M10" s="47">
        <f>J10-L10</f>
        <v>0</v>
      </c>
      <c r="N10" s="48" t="str">
        <f>IFERROR(M10/I10*O10,"")</f>
        <v/>
      </c>
      <c r="O10" s="51">
        <f>DAY(EOMONTH(H10,0))</f>
        <v>31</v>
      </c>
      <c r="P10" s="48" t="str">
        <f>+DPO[[#This Row],[DPO]]</f>
        <v/>
      </c>
    </row>
    <row r="11" spans="1:16" x14ac:dyDescent="0.25">
      <c r="A11" t="s">
        <v>147</v>
      </c>
      <c r="B11" t="s">
        <v>139</v>
      </c>
      <c r="H11" s="50">
        <f>EDATE(DateRef,-4)</f>
        <v>45658</v>
      </c>
      <c r="I11" s="45">
        <f>SUMIFS(DetteFrs[Net à Payer],DetteFrs[Date Saisie],"&gt;="&amp;H11,DetteFrs[Date Saisie],"&lt;="&amp;H11+O11-1)</f>
        <v>7466120</v>
      </c>
      <c r="J11" s="45">
        <f>J10+I11</f>
        <v>7466120</v>
      </c>
      <c r="K11" s="46">
        <f>SUMIFS(ReglFrs[Montant Payé],ReglFrs[Date règlement],"&gt;="&amp;H11,ReglFrs[Date règlement],"&lt;="&amp;H11+O11-1)</f>
        <v>4223920</v>
      </c>
      <c r="L11" s="46">
        <f>+L10+K11</f>
        <v>4223920</v>
      </c>
      <c r="M11" s="47">
        <f t="shared" ref="M11:M15" si="0">J11-L11</f>
        <v>3242200</v>
      </c>
      <c r="N11" s="48">
        <f t="shared" ref="N11:N15" si="1">IFERROR(M11/I11*O11,"")</f>
        <v>13.461905246634128</v>
      </c>
      <c r="O11" s="51">
        <f t="shared" ref="O11:O15" si="2">DAY(EOMONTH(H11,0))</f>
        <v>31</v>
      </c>
      <c r="P11" s="48">
        <f>+DPO[[#This Row],[DPO]]</f>
        <v>13.461905246634128</v>
      </c>
    </row>
    <row r="12" spans="1:16" x14ac:dyDescent="0.25">
      <c r="A12" s="27">
        <v>102101800</v>
      </c>
      <c r="B12" s="32">
        <v>10</v>
      </c>
      <c r="C12" t="str">
        <f>+GETPIVOTDATA("Nombre de N°Facture",$A$11)&amp;" Fac."</f>
        <v>10 Fac.</v>
      </c>
      <c r="H12" s="50">
        <f>EDATE(DateRef,-3)</f>
        <v>45689</v>
      </c>
      <c r="I12" s="45">
        <f>SUMIFS(DetteFrs[Net à Payer],DetteFrs[Date Saisie],"&gt;="&amp;H12,DetteFrs[Date Saisie],"&lt;="&amp;H12+O12-1)</f>
        <v>52883592</v>
      </c>
      <c r="J12" s="45">
        <f t="shared" ref="J12:J15" si="3">J11+I12</f>
        <v>60349712</v>
      </c>
      <c r="K12" s="46">
        <f>SUMIFS(ReglFrs[Montant Payé],ReglFrs[Date règlement],"&gt;="&amp;H12,ReglFrs[Date règlement],"&lt;="&amp;H12+O12-1)</f>
        <v>9425588</v>
      </c>
      <c r="L12" s="46">
        <f t="shared" ref="L12:L15" si="4">+L11+K12</f>
        <v>13649508</v>
      </c>
      <c r="M12" s="47">
        <f t="shared" si="0"/>
        <v>46700204</v>
      </c>
      <c r="N12" s="48">
        <f t="shared" si="1"/>
        <v>24.726113763225463</v>
      </c>
      <c r="O12" s="51">
        <f t="shared" si="2"/>
        <v>28</v>
      </c>
      <c r="P12" s="48">
        <f>+DPO[[#This Row],[DPO]]</f>
        <v>24.726113763225463</v>
      </c>
    </row>
    <row r="13" spans="1:16" x14ac:dyDescent="0.25">
      <c r="H13" s="50">
        <f>EDATE(DateRef,-2)</f>
        <v>45717</v>
      </c>
      <c r="I13" s="45">
        <f>SUMIFS(DetteFrs[Net à Payer],DetteFrs[Date Saisie],"&gt;="&amp;H13,DetteFrs[Date Saisie],"&lt;="&amp;H13+O13-1)</f>
        <v>8119578</v>
      </c>
      <c r="J13" s="45">
        <f t="shared" si="3"/>
        <v>68469290</v>
      </c>
      <c r="K13" s="46">
        <f>SUMIFS(ReglFrs[Montant Payé],ReglFrs[Date règlement],"&gt;="&amp;H13,ReglFrs[Date règlement],"&lt;="&amp;H13+O13-1)</f>
        <v>37283204</v>
      </c>
      <c r="L13" s="46">
        <f t="shared" si="4"/>
        <v>50932712</v>
      </c>
      <c r="M13" s="47">
        <f t="shared" si="0"/>
        <v>17536578</v>
      </c>
      <c r="N13" s="48">
        <f t="shared" si="1"/>
        <v>66.9534695029717</v>
      </c>
      <c r="O13" s="51">
        <f t="shared" si="2"/>
        <v>31</v>
      </c>
      <c r="P13" s="48">
        <f>+DPO[[#This Row],[DPO]]</f>
        <v>66.9534695029717</v>
      </c>
    </row>
    <row r="14" spans="1:16" x14ac:dyDescent="0.25">
      <c r="A14" s="30" t="s">
        <v>9</v>
      </c>
      <c r="B14" t="s">
        <v>151</v>
      </c>
      <c r="H14" s="50">
        <f>EDATE(DateRef,-1)</f>
        <v>45748</v>
      </c>
      <c r="I14" s="45">
        <f>SUMIFS(DetteFrs[Net à Payer],DetteFrs[Date Saisie],"&gt;="&amp;H14,DetteFrs[Date Saisie],"&lt;="&amp;H14+O14-1)</f>
        <v>10721539</v>
      </c>
      <c r="J14" s="45">
        <f t="shared" si="3"/>
        <v>79190829</v>
      </c>
      <c r="K14" s="46">
        <f>SUMIFS(ReglFrs[Montant Payé],ReglFrs[Date règlement],"&gt;="&amp;H14,ReglFrs[Date règlement],"&lt;="&amp;H14+O14-1)</f>
        <v>378599</v>
      </c>
      <c r="L14" s="46">
        <f t="shared" si="4"/>
        <v>51311311</v>
      </c>
      <c r="M14" s="47">
        <f t="shared" si="0"/>
        <v>27879518</v>
      </c>
      <c r="N14" s="48">
        <f t="shared" si="1"/>
        <v>78.009839818705132</v>
      </c>
      <c r="O14" s="51">
        <f t="shared" si="2"/>
        <v>30</v>
      </c>
      <c r="P14" s="62">
        <f>+DPO[[#This Row],[DPO]]</f>
        <v>78.009839818705132</v>
      </c>
    </row>
    <row r="15" spans="1:16" x14ac:dyDescent="0.25">
      <c r="H15" s="58">
        <f>EDATE(DateRef,0)</f>
        <v>45778</v>
      </c>
      <c r="I15" s="59">
        <f>SUMIFS(DetteFrs[Net à Payer],DetteFrs[Date Saisie],"&gt;="&amp;H15,DetteFrs[Date Saisie],"&lt;="&amp;H15+O15-1)</f>
        <v>1707120</v>
      </c>
      <c r="J15" s="59">
        <f t="shared" si="3"/>
        <v>80897949</v>
      </c>
      <c r="K15" s="60">
        <f>SUMIFS(ReglFrs[Montant Payé],ReglFrs[Date règlement],"&gt;="&amp;H15,ReglFrs[Date règlement],"&lt;="&amp;H15+O15-1)</f>
        <v>0</v>
      </c>
      <c r="L15" s="60">
        <f t="shared" si="4"/>
        <v>51311311</v>
      </c>
      <c r="M15" s="61">
        <f t="shared" si="0"/>
        <v>29586638</v>
      </c>
      <c r="N15" s="62">
        <f t="shared" si="1"/>
        <v>537.27082923286002</v>
      </c>
      <c r="O15" s="63">
        <f t="shared" si="2"/>
        <v>31</v>
      </c>
      <c r="P15" s="44">
        <f>+DPO[[#This Row],[DPO]]</f>
        <v>537.27082923286002</v>
      </c>
    </row>
    <row r="16" spans="1:16" x14ac:dyDescent="0.25">
      <c r="A16" t="s">
        <v>147</v>
      </c>
      <c r="B16" t="s">
        <v>139</v>
      </c>
    </row>
    <row r="17" spans="1:14" x14ac:dyDescent="0.25">
      <c r="A17" s="27">
        <v>28859618</v>
      </c>
      <c r="B17" s="26">
        <v>73</v>
      </c>
      <c r="C17" t="str">
        <f>+GETPIVOTDATA("Nombre de N°Facture",$A$16)&amp;" Fac."</f>
        <v>73 Fac.</v>
      </c>
      <c r="J17" s="67" t="s">
        <v>177</v>
      </c>
      <c r="K17" s="68" t="s">
        <v>189</v>
      </c>
      <c r="L17" s="68" t="s">
        <v>190</v>
      </c>
      <c r="M17" s="69" t="s">
        <v>191</v>
      </c>
      <c r="N17" s="49"/>
    </row>
    <row r="18" spans="1:14" x14ac:dyDescent="0.25">
      <c r="J18" s="65" t="s">
        <v>186</v>
      </c>
      <c r="K18" s="64"/>
      <c r="L18" s="64"/>
      <c r="M18" s="66">
        <f>+SUM(N10:N15)</f>
        <v>720.42215756439646</v>
      </c>
      <c r="N18" s="49"/>
    </row>
    <row r="19" spans="1:14" x14ac:dyDescent="0.25">
      <c r="J19" s="70" t="s">
        <v>187</v>
      </c>
      <c r="K19" s="71"/>
      <c r="L19" s="71"/>
      <c r="M19" s="72">
        <f>(M15/J15*M18)</f>
        <v>263.47849168631905</v>
      </c>
    </row>
    <row r="21" spans="1:14" x14ac:dyDescent="0.25">
      <c r="A21" t="s">
        <v>137</v>
      </c>
      <c r="B21" t="s">
        <v>138</v>
      </c>
    </row>
    <row r="22" spans="1:14" x14ac:dyDescent="0.25">
      <c r="A22" s="26">
        <v>182272729</v>
      </c>
      <c r="B22" s="26">
        <v>51311311</v>
      </c>
      <c r="C22" s="33">
        <f>GETPIVOTDATA("Somme de Montant Payé",$A$21)/GETPIVOTDATA("Somme de Net à Payer",$A$21)</f>
        <v>0.28150843673383524</v>
      </c>
      <c r="H22" s="77" t="s">
        <v>188</v>
      </c>
      <c r="I22" s="77" t="s">
        <v>179</v>
      </c>
      <c r="J22" s="77" t="s">
        <v>193</v>
      </c>
      <c r="K22" s="77" t="s">
        <v>194</v>
      </c>
      <c r="L22" s="77" t="s">
        <v>181</v>
      </c>
    </row>
    <row r="23" spans="1:14" x14ac:dyDescent="0.25">
      <c r="H23" s="74">
        <f>EDATE(DateRef,-2)</f>
        <v>45717</v>
      </c>
      <c r="I23" s="75">
        <f>SUMIFS(DetteFrs[Net à Payer],DetteFrs[Date Saisie],"&gt;="&amp;H23,DetteFrs[Date Saisie],"&lt;="&amp;H23+L23-1)</f>
        <v>8119578</v>
      </c>
      <c r="J23" s="75">
        <f>SUMIFS(ReglFrs[Montant Payé],ReglFrs[Date règlement],"&gt;="&amp;H23,ReglFrs[Date règlement],"&lt;="&amp;H23+L23-1)</f>
        <v>37283204</v>
      </c>
      <c r="K23" s="75"/>
      <c r="L23" s="76">
        <f>DAY(EOMONTH(H23,0))</f>
        <v>31</v>
      </c>
    </row>
    <row r="24" spans="1:14" x14ac:dyDescent="0.25">
      <c r="H24" s="74">
        <f>EDATE(DateRef,-1)</f>
        <v>45748</v>
      </c>
      <c r="I24" s="75">
        <f>SUMIFS(DetteFrs[Net à Payer],DetteFrs[Date Saisie],"&gt;="&amp;H24,DetteFrs[Date Saisie],"&lt;="&amp;H24+L24-1)</f>
        <v>10721539</v>
      </c>
      <c r="J24" s="75">
        <f>SUMIFS(ReglFrs[Montant Payé],ReglFrs[Date règlement],"&gt;="&amp;H24,ReglFrs[Date règlement],"&lt;="&amp;H24+L24-1)</f>
        <v>378599</v>
      </c>
      <c r="K24" s="75"/>
      <c r="L24" s="76">
        <f t="shared" ref="L24:L28" si="5">DAY(EOMONTH(H24,0))</f>
        <v>30</v>
      </c>
    </row>
    <row r="25" spans="1:14" x14ac:dyDescent="0.25">
      <c r="H25" s="74">
        <f>EDATE(DateRef,0)</f>
        <v>45778</v>
      </c>
      <c r="I25" s="75">
        <f>SUMIFS(DetteFrs[Net à Payer],DetteFrs[Date Saisie],"&gt;="&amp;H25,DetteFrs[Date Saisie],"&lt;="&amp;H25+L25-1)</f>
        <v>1707120</v>
      </c>
      <c r="J25" s="75">
        <f>SUMIFS(ReglFrs[Montant Payé],ReglFrs[Date règlement],"&gt;="&amp;H25,ReglFrs[Date règlement],"&lt;="&amp;H25+L25-1)</f>
        <v>0</v>
      </c>
      <c r="K25" s="75"/>
      <c r="L25" s="76">
        <f t="shared" si="5"/>
        <v>31</v>
      </c>
    </row>
    <row r="26" spans="1:14" x14ac:dyDescent="0.25">
      <c r="H26" s="74">
        <f>EDATE(DateRef,1)</f>
        <v>45809</v>
      </c>
      <c r="I26" s="75">
        <f>SUMIFS(DetteFrs[Net à Payer],DetteFrs[Date Saisie],"&gt;="&amp;H26,DetteFrs[Date Saisie],"&lt;="&amp;H26+L26-1)</f>
        <v>100900000</v>
      </c>
      <c r="J26" s="75">
        <f>SUMIFS(ReglFrs[Montant Payé],ReglFrs[Date règlement],"&gt;="&amp;H26,ReglFrs[Date règlement],"&lt;="&amp;H26+L26-1)</f>
        <v>1745250</v>
      </c>
      <c r="K26" s="75">
        <f>SUMIFS(DetteFrs[Solde],DetteFrs[Échéance],"&gt;="&amp;H26,DetteFrs[Échéance],"&lt;="&amp;H26+L26-1)</f>
        <v>177000</v>
      </c>
      <c r="L26" s="76">
        <f t="shared" si="5"/>
        <v>30</v>
      </c>
    </row>
    <row r="27" spans="1:14" x14ac:dyDescent="0.25">
      <c r="H27" s="74">
        <f>EDATE(DateRef,2)</f>
        <v>45839</v>
      </c>
      <c r="I27" s="75">
        <f>SUMIFS(DetteFrs[Net à Payer],DetteFrs[Date Saisie],"&gt;="&amp;H27,DetteFrs[Date Saisie],"&lt;="&amp;H27+L27-1)</f>
        <v>0</v>
      </c>
      <c r="J27" s="75">
        <f>SUMIFS(ReglFrs[Montant Payé],ReglFrs[Date règlement],"&gt;="&amp;H27,ReglFrs[Date règlement],"&lt;="&amp;H27+L27-1)</f>
        <v>0</v>
      </c>
      <c r="K27" s="75">
        <f>SUMIFS(DetteFrs[Solde],DetteFrs[Échéance],"&gt;="&amp;H27,DetteFrs[Échéance],"&lt;="&amp;H27+L27-1)</f>
        <v>1024800</v>
      </c>
      <c r="L27" s="76">
        <f t="shared" si="5"/>
        <v>31</v>
      </c>
    </row>
    <row r="28" spans="1:14" x14ac:dyDescent="0.25">
      <c r="A28" s="30" t="s">
        <v>148</v>
      </c>
      <c r="B28" t="s">
        <v>137</v>
      </c>
      <c r="H28" s="74">
        <f>EDATE(DateRef,3)</f>
        <v>45870</v>
      </c>
      <c r="I28" s="75">
        <f>SUMIFS(DetteFrs[Net à Payer],DetteFrs[Date Saisie],"&gt;="&amp;H28,DetteFrs[Date Saisie],"&lt;="&amp;H28+L28-1)</f>
        <v>0</v>
      </c>
      <c r="J28" s="75">
        <f>SUMIFS(ReglFrs[Montant Payé],ReglFrs[Date règlement],"&gt;="&amp;H28,ReglFrs[Date règlement],"&lt;="&amp;H28+L28-1)</f>
        <v>0</v>
      </c>
      <c r="K28" s="75">
        <f>SUMIFS(DetteFrs[Solde],DetteFrs[Échéance],"&gt;="&amp;H28,DetteFrs[Échéance],"&lt;="&amp;H28+L28-1)</f>
        <v>100900000</v>
      </c>
      <c r="L28" s="76">
        <f t="shared" si="5"/>
        <v>31</v>
      </c>
    </row>
    <row r="29" spans="1:14" x14ac:dyDescent="0.25">
      <c r="A29" s="31" t="s">
        <v>149</v>
      </c>
      <c r="B29" s="27">
        <v>9330218</v>
      </c>
      <c r="I29" s="31"/>
      <c r="J29" s="73"/>
      <c r="K29" s="73"/>
      <c r="L29" s="73"/>
    </row>
    <row r="30" spans="1:14" x14ac:dyDescent="0.25">
      <c r="A30" s="31" t="s">
        <v>150</v>
      </c>
      <c r="B30" s="27">
        <v>9767000</v>
      </c>
    </row>
    <row r="31" spans="1:14" x14ac:dyDescent="0.25">
      <c r="A31" s="31" t="s">
        <v>170</v>
      </c>
      <c r="B31" s="27">
        <v>9762400</v>
      </c>
    </row>
    <row r="32" spans="1:14" x14ac:dyDescent="0.25">
      <c r="A32" s="31" t="s">
        <v>171</v>
      </c>
      <c r="B32" s="27">
        <v>102101800</v>
      </c>
    </row>
    <row r="33" spans="1:7" x14ac:dyDescent="0.25">
      <c r="A33" s="30" t="s">
        <v>9</v>
      </c>
      <c r="B33" t="s">
        <v>151</v>
      </c>
    </row>
    <row r="35" spans="1:7" x14ac:dyDescent="0.25">
      <c r="A35" s="30" t="s">
        <v>148</v>
      </c>
      <c r="B35" t="s">
        <v>152</v>
      </c>
      <c r="C35" t="s">
        <v>147</v>
      </c>
    </row>
    <row r="36" spans="1:7" x14ac:dyDescent="0.25">
      <c r="A36" s="31">
        <v>200010361938</v>
      </c>
      <c r="B36" s="26">
        <v>278</v>
      </c>
      <c r="C36" s="26">
        <v>1121000</v>
      </c>
      <c r="E36">
        <f>+A36</f>
        <v>200010361938</v>
      </c>
      <c r="F36" t="str">
        <f>VLOOKUP(E36,DetteFrs[[N°Facture]:[Fournisseur]],2,FALSE)</f>
        <v>MAERSK COTE D IVOIRE</v>
      </c>
      <c r="G36">
        <f>VLOOKUP(A36,DetteFrs[[N°Facture]:[Solde]],7,FALSE)</f>
        <v>1003000</v>
      </c>
    </row>
    <row r="37" spans="1:7" x14ac:dyDescent="0.25">
      <c r="A37" s="31">
        <v>246660281</v>
      </c>
      <c r="B37" s="26">
        <v>139</v>
      </c>
      <c r="C37" s="26">
        <v>911700</v>
      </c>
      <c r="E37">
        <f t="shared" ref="E37:E42" si="6">+A37</f>
        <v>246660281</v>
      </c>
      <c r="F37" t="str">
        <f>VLOOKUP(E37,DetteFrs[[N°Facture]:[Fournisseur]],2,FALSE)</f>
        <v>MAERSK COTE D IVOIRE</v>
      </c>
      <c r="G37">
        <f>VLOOKUP(A37,DetteFrs[[N°Facture]:[Solde]],7,FALSE)</f>
        <v>911700</v>
      </c>
    </row>
    <row r="38" spans="1:7" x14ac:dyDescent="0.25">
      <c r="A38" s="31">
        <v>7613846851</v>
      </c>
      <c r="B38" s="26">
        <v>139</v>
      </c>
      <c r="C38" s="26">
        <v>354000</v>
      </c>
      <c r="E38">
        <f t="shared" si="6"/>
        <v>7613846851</v>
      </c>
      <c r="F38" t="str">
        <f>VLOOKUP(E38,DetteFrs[[N°Facture]:[Fournisseur]],2,FALSE)</f>
        <v>MAERSK COTE D IVOIRE</v>
      </c>
      <c r="G38">
        <f>VLOOKUP(A38,DetteFrs[[N°Facture]:[Solde]],7,FALSE)</f>
        <v>354000</v>
      </c>
    </row>
    <row r="39" spans="1:7" x14ac:dyDescent="0.25">
      <c r="A39" s="31">
        <v>7613845227</v>
      </c>
      <c r="B39" s="26">
        <v>139</v>
      </c>
      <c r="C39" s="26">
        <v>295000</v>
      </c>
      <c r="E39">
        <f t="shared" si="6"/>
        <v>7613845227</v>
      </c>
      <c r="F39" t="str">
        <f>VLOOKUP(E39,DetteFrs[[N°Facture]:[Fournisseur]],2,FALSE)</f>
        <v>MAERSK COTE D IVOIRE</v>
      </c>
      <c r="G39">
        <f>VLOOKUP(A39,DetteFrs[[N°Facture]:[Solde]],7,FALSE)</f>
        <v>295000</v>
      </c>
    </row>
    <row r="40" spans="1:7" x14ac:dyDescent="0.25">
      <c r="A40" s="31">
        <v>7613846689</v>
      </c>
      <c r="B40" s="26">
        <v>139</v>
      </c>
      <c r="C40" s="26">
        <v>177000</v>
      </c>
      <c r="E40">
        <f t="shared" si="6"/>
        <v>7613846689</v>
      </c>
      <c r="F40" t="str">
        <f>VLOOKUP(E40,DetteFrs[[N°Facture]:[Fournisseur]],2,FALSE)</f>
        <v>MAERSK COTE D IVOIRE</v>
      </c>
      <c r="G40">
        <f>VLOOKUP(A40,DetteFrs[[N°Facture]:[Solde]],7,FALSE)</f>
        <v>177000</v>
      </c>
    </row>
    <row r="41" spans="1:7" x14ac:dyDescent="0.25">
      <c r="A41" s="31">
        <v>7613846398</v>
      </c>
      <c r="B41" s="26">
        <v>139</v>
      </c>
      <c r="C41" s="26">
        <v>206500</v>
      </c>
      <c r="E41">
        <f t="shared" si="6"/>
        <v>7613846398</v>
      </c>
      <c r="F41" t="str">
        <f>VLOOKUP(E41,DetteFrs[[N°Facture]:[Fournisseur]],2,FALSE)</f>
        <v>MAERSK COTE D IVOIRE</v>
      </c>
      <c r="G41">
        <f>VLOOKUP(A41,DetteFrs[[N°Facture]:[Solde]],7,FALSE)</f>
        <v>206500</v>
      </c>
    </row>
    <row r="42" spans="1:7" x14ac:dyDescent="0.25">
      <c r="A42" s="31">
        <v>7613844474</v>
      </c>
      <c r="B42" s="26">
        <v>139</v>
      </c>
      <c r="C42" s="26">
        <v>177000</v>
      </c>
      <c r="E42">
        <f t="shared" si="6"/>
        <v>7613844474</v>
      </c>
      <c r="F42" t="str">
        <f>VLOOKUP(E42,DetteFrs[[N°Facture]:[Fournisseur]],2,FALSE)</f>
        <v>MAERSK COTE D IVOIRE</v>
      </c>
      <c r="G42">
        <f>VLOOKUP(A42,DetteFrs[[N°Facture]:[Solde]],7,FALSE)</f>
        <v>177000</v>
      </c>
    </row>
    <row r="69" spans="1:2" x14ac:dyDescent="0.25">
      <c r="A69" s="30" t="s">
        <v>8</v>
      </c>
      <c r="B69" t="s">
        <v>151</v>
      </c>
    </row>
    <row r="71" spans="1:2" x14ac:dyDescent="0.25">
      <c r="A71" s="30" t="s">
        <v>148</v>
      </c>
      <c r="B71" t="s">
        <v>147</v>
      </c>
    </row>
    <row r="72" spans="1:2" x14ac:dyDescent="0.25">
      <c r="A72" s="31" t="s">
        <v>24</v>
      </c>
      <c r="B72" s="27">
        <v>3242200</v>
      </c>
    </row>
    <row r="73" spans="1:2" x14ac:dyDescent="0.25">
      <c r="A73" s="31" t="s">
        <v>83</v>
      </c>
      <c r="B73" s="27">
        <v>6250000</v>
      </c>
    </row>
    <row r="74" spans="1:2" x14ac:dyDescent="0.25">
      <c r="A74" s="31" t="s">
        <v>76</v>
      </c>
      <c r="B74" s="27">
        <v>9554720</v>
      </c>
    </row>
    <row r="75" spans="1:2" x14ac:dyDescent="0.25">
      <c r="A75" s="31" t="s">
        <v>21</v>
      </c>
      <c r="B75" s="27">
        <v>11014498</v>
      </c>
    </row>
    <row r="79" spans="1:2" x14ac:dyDescent="0.25">
      <c r="A79" s="31"/>
      <c r="B79" s="27"/>
    </row>
    <row r="80" spans="1:2" x14ac:dyDescent="0.25">
      <c r="A80" s="31"/>
      <c r="B80" s="27"/>
    </row>
    <row r="81" spans="1:4" x14ac:dyDescent="0.25">
      <c r="A81" s="31"/>
      <c r="B81" s="27"/>
    </row>
    <row r="82" spans="1:4" x14ac:dyDescent="0.25">
      <c r="A82" s="31"/>
      <c r="B82" s="27"/>
    </row>
    <row r="83" spans="1:4" x14ac:dyDescent="0.25">
      <c r="A83" s="30" t="s">
        <v>148</v>
      </c>
      <c r="B83" t="s">
        <v>147</v>
      </c>
      <c r="C83" t="s">
        <v>139</v>
      </c>
    </row>
    <row r="84" spans="1:4" x14ac:dyDescent="0.25">
      <c r="A84" s="31" t="s">
        <v>141</v>
      </c>
      <c r="B84" s="27">
        <v>6250000</v>
      </c>
      <c r="C84" s="32">
        <v>13</v>
      </c>
      <c r="D84" t="str">
        <f>C84&amp;" Fac."</f>
        <v>13 Fac.</v>
      </c>
    </row>
    <row r="85" spans="1:4" x14ac:dyDescent="0.25">
      <c r="A85" s="31" t="s">
        <v>140</v>
      </c>
      <c r="B85" s="27">
        <v>124711418</v>
      </c>
      <c r="C85" s="32">
        <v>102</v>
      </c>
      <c r="D85" t="str">
        <f>C85&amp;" Fac."</f>
        <v>102 Fac.</v>
      </c>
    </row>
  </sheetData>
  <pageMargins left="0.7" right="0.7" top="0.75" bottom="0.75" header="0.3" footer="0.3"/>
  <pageSetup paperSize="9" orientation="portrait" r:id="rId10"/>
  <tableParts count="2">
    <tablePart r:id="rId11"/>
    <tablePart r:id="rId1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7</vt:i4>
      </vt:variant>
    </vt:vector>
  </HeadingPairs>
  <TitlesOfParts>
    <vt:vector size="12" baseType="lpstr">
      <vt:lpstr>Tableau de bord</vt:lpstr>
      <vt:lpstr>Dettes</vt:lpstr>
      <vt:lpstr>Règlements</vt:lpstr>
      <vt:lpstr>Paramètres</vt:lpstr>
      <vt:lpstr>Calculs</vt:lpstr>
      <vt:lpstr>CelDate</vt:lpstr>
      <vt:lpstr>CelEchéance</vt:lpstr>
      <vt:lpstr>CelNAP</vt:lpstr>
      <vt:lpstr>CelNumFact</vt:lpstr>
      <vt:lpstr>CelNumTiers</vt:lpstr>
      <vt:lpstr>DateRef</vt:lpstr>
      <vt:lpstr>'Tableau de bord'!Zone_d_impression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SES</dc:creator>
  <cp:lastModifiedBy>SES</cp:lastModifiedBy>
  <cp:lastPrinted>2025-06-16T18:04:01Z</cp:lastPrinted>
  <dcterms:created xsi:type="dcterms:W3CDTF">2025-06-16T17:49:49Z</dcterms:created>
  <dcterms:modified xsi:type="dcterms:W3CDTF">2025-06-21T20:00:11Z</dcterms:modified>
</cp:coreProperties>
</file>